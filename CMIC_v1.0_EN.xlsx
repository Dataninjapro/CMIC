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meni.SPSSIL\Google Drive (dataninjapro@gmail.com)\Data Ninja Drive\DN Training\הדרכה\ניתוחים מתקדמים\CMIC\"/>
    </mc:Choice>
  </mc:AlternateContent>
  <xr:revisionPtr revIDLastSave="0" documentId="13_ncr:20001_{CDBCE084-1BAA-416E-8D34-6D28C874EF71}" xr6:coauthVersionLast="47" xr6:coauthVersionMax="47" xr10:uidLastSave="{00000000-0000-0000-0000-000000000000}"/>
  <workbookProtection workbookAlgorithmName="SHA-512" workbookHashValue="+g5if+2w/R4v1zPRXSsS186tbcWjrWMXPPJpiiLc9dtekdWm2p07/lLTYV6dGP6ORkbNe/S2NQzHrjlVVuZBKA==" workbookSaltValue="ZX+Jo6fHVsLKijtOlhtTkw==" workbookSpinCount="100000" lockStructure="1"/>
  <bookViews>
    <workbookView xWindow="-105" yWindow="0" windowWidth="17580" windowHeight="15585" xr2:uid="{00000000-000D-0000-FFFF-FFFF00000000}"/>
  </bookViews>
  <sheets>
    <sheet name="Calculator" sheetId="2" r:id="rId1"/>
    <sheet name="Method" sheetId="3" r:id="rId2"/>
    <sheet name="Calc_Backend" sheetId="4" state="hidden" r:id="rId3"/>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4" l="1"/>
  <c r="B6" i="4"/>
  <c r="B5" i="4"/>
  <c r="B4" i="4"/>
  <c r="B2" i="4"/>
  <c r="A2" i="3"/>
  <c r="D26" i="2"/>
  <c r="E26" i="2" s="1"/>
  <c r="D25" i="2"/>
  <c r="E25" i="2" s="1"/>
  <c r="D24" i="2"/>
  <c r="E24" i="2" s="1"/>
  <c r="D23" i="2"/>
  <c r="E23" i="2" s="1"/>
  <c r="D22" i="2"/>
  <c r="E22" i="2" s="1"/>
  <c r="D21" i="2"/>
  <c r="E21" i="2" s="1"/>
  <c r="D20" i="2"/>
  <c r="E20" i="2" s="1"/>
  <c r="D19" i="2"/>
  <c r="E19" i="2" s="1"/>
  <c r="D18" i="2"/>
  <c r="E18" i="2" s="1"/>
  <c r="B8" i="4" l="1"/>
  <c r="B3" i="4"/>
  <c r="B9" i="4" s="1"/>
  <c r="D27" i="2" s="1"/>
  <c r="E27" i="2" s="1"/>
</calcChain>
</file>

<file path=xl/sharedStrings.xml><?xml version="1.0" encoding="utf-8"?>
<sst xmlns="http://schemas.openxmlformats.org/spreadsheetml/2006/main" count="123" uniqueCount="118">
  <si>
    <r>
      <t xml:space="preserve">     Confusion Matrix Interactive Calculator   </t>
    </r>
    <r>
      <rPr>
        <sz val="10"/>
        <color theme="1"/>
        <rFont val="Calibri"/>
        <family val="2"/>
        <scheme val="minor"/>
      </rPr>
      <t>v. 1.0</t>
    </r>
  </si>
  <si>
    <t>Method and Design by Meni Berger Data Ninja ©</t>
  </si>
  <si>
    <t xml:space="preserve">Tel. 0522834241 </t>
  </si>
  <si>
    <t>Dataninjapro@gmail.com</t>
  </si>
  <si>
    <t xml:space="preserve"> 0522 834 241</t>
  </si>
  <si>
    <t>User Inputs:</t>
  </si>
  <si>
    <t>True Negative (TN):</t>
  </si>
  <si>
    <t>False Positive (FP):</t>
  </si>
  <si>
    <t>False Negative (FN):</t>
  </si>
  <si>
    <t>True Positive (TP):</t>
  </si>
  <si>
    <t>Observed \ Predicted</t>
  </si>
  <si>
    <t>Negative</t>
  </si>
  <si>
    <t>Positive</t>
  </si>
  <si>
    <t>TN</t>
  </si>
  <si>
    <t>FP</t>
  </si>
  <si>
    <t>FN</t>
  </si>
  <si>
    <t>TP</t>
  </si>
  <si>
    <t>Metric</t>
  </si>
  <si>
    <t>Formula</t>
  </si>
  <si>
    <t>Value</t>
  </si>
  <si>
    <t>Status</t>
  </si>
  <si>
    <t>Sensitivity</t>
  </si>
  <si>
    <t>TP / (TP+FN)</t>
  </si>
  <si>
    <t>Specificity</t>
  </si>
  <si>
    <t>TN / (TN+FP)</t>
  </si>
  <si>
    <t>Precision (PPV)</t>
  </si>
  <si>
    <t>TP / (TP+FP)</t>
  </si>
  <si>
    <t>NPV</t>
  </si>
  <si>
    <t>TN / (TN+FN)</t>
  </si>
  <si>
    <t>Accuracy</t>
  </si>
  <si>
    <t>(TP+TN) / Total</t>
  </si>
  <si>
    <t>FPR</t>
  </si>
  <si>
    <t>FP / (FP+TN)</t>
  </si>
  <si>
    <t>FNR</t>
  </si>
  <si>
    <t>FN / (FN+TP)</t>
  </si>
  <si>
    <t>Bal. Accuracy</t>
  </si>
  <si>
    <t>(Sensitivity+Specificity)/2</t>
  </si>
  <si>
    <t>F1 Score</t>
  </si>
  <si>
    <t>2TP / (2TP+FP+FN)</t>
  </si>
  <si>
    <t>Cohen’s Kappa</t>
  </si>
  <si>
    <t>Agreement corrected for chance</t>
  </si>
  <si>
    <t>Protected template | Editable input cells only</t>
  </si>
  <si>
    <t xml:space="preserve"> </t>
  </si>
  <si>
    <t>Kappa labels</t>
  </si>
  <si>
    <t>Kappa Values and Formulas</t>
  </si>
  <si>
    <t>Total N</t>
  </si>
  <si>
    <t>Observed agreement (Po)</t>
  </si>
  <si>
    <t>Row total negative</t>
  </si>
  <si>
    <t>Row total positive</t>
  </si>
  <si>
    <t>Column total negative</t>
  </si>
  <si>
    <t>Column total positive</t>
  </si>
  <si>
    <t>Expected agreement (Pe)</t>
  </si>
  <si>
    <t>Kappa</t>
  </si>
  <si>
    <t>This tool is intended to support interpretation of classification metrics. Metrics should be considered together and interpreted in the context of the data structure, class balance, and the model’s intended use.</t>
  </si>
  <si>
    <t>Confusion Matrix Metrics Interpretation Guide</t>
  </si>
  <si>
    <t>This sheet provides concise explanations for the performance metrics used in the Confusion Matrix Interactive Calculator.</t>
  </si>
  <si>
    <t>Sensitivity (Recall)</t>
  </si>
  <si>
    <t>TP / (TP + FN)</t>
  </si>
  <si>
    <t>Sensitivity measures the proportion of actual positive cases that the model correctly identifies out of all cases that are positive in reality.</t>
  </si>
  <si>
    <t>A high sensitivity indicates that the model is good at detecting the target class (1) and therefore misses fewer true positive cases.</t>
  </si>
  <si>
    <t>A low sensitivity indicates that the model misses a substantial proportion of actual positive cases, meaning that its False Negative rate is relatively high.</t>
  </si>
  <si>
    <t>Sensitivity is especially important when missing a positive case carries a meaningful cost or risk.</t>
  </si>
  <si>
    <t>TN / (TN + FP)</t>
  </si>
  <si>
    <t>Specificity measures the proportion of actual negative cases that the model correctly identifies out of all cases that are negative in reality (0).</t>
  </si>
  <si>
    <t>A high specificity indicates that the model is good at identifying negative cases and therefore produces fewer false positive results.</t>
  </si>
  <si>
    <t>A low specificity indicates that the model tends to classify negative cases as positive, meaning that its False Positive rate is relatively high.</t>
  </si>
  <si>
    <t>Specificity is especially important when false alarms, overdiagnosis, or unnecessary intervention carry a meaningful cost.</t>
  </si>
  <si>
    <t>Precision (PPV) — Positive Predictive Value</t>
  </si>
  <si>
    <t>TP / (TP + FP)</t>
  </si>
  <si>
    <t>Precision measures the proportion of cases classified as positive that are truly positive, out of all cases the model predicts as positive.</t>
  </si>
  <si>
    <t>A high Precision indicates that when the model predicts a positive case, the prediction is likely to be correct.</t>
  </si>
  <si>
    <t>A low Precision indicates that a meaningful share of the model's positive predictions are actually false positives.</t>
  </si>
  <si>
    <t>This metric is especially useful when the main question is how much confidence to place in a positive prediction produced by the model.</t>
  </si>
  <si>
    <t>NPV — Negative Predictive Value</t>
  </si>
  <si>
    <t>TN / (TN + FN)</t>
  </si>
  <si>
    <t>Negative Predictive Value measures the proportion of cases classified as negative that are truly negative, out of all cases the model predicts as negative.</t>
  </si>
  <si>
    <t>A high NPV indicates that when the model predicts a negative case, the prediction is likely to be correct.</t>
  </si>
  <si>
    <t>A low NPV indicates that some negative predictions are actually false negatives — positive cases that the model failed to detect.</t>
  </si>
  <si>
    <t>This metric is especially useful when assessing how much confidence to place in a negative prediction produced by the model.</t>
  </si>
  <si>
    <t>Accuracy — Overall Accuracy</t>
  </si>
  <si>
    <t>(TP + TN) / (TP + TN + FP + FN)</t>
  </si>
  <si>
    <t>Accuracy measures the proportion of all cases that the model classifies correctly.</t>
  </si>
  <si>
    <t>A high Accuracy indicates that the model correctly classifies a large proportion of both positive and negative cases.</t>
  </si>
  <si>
    <t>However, in imbalanced datasets, Accuracy may appear high even when model performance is weak for one of the classes.</t>
  </si>
  <si>
    <t>Accuracy should therefore be interpreted together with other metrics such as Sensitivity, Specificity, Precision, and Balanced Accuracy.</t>
  </si>
  <si>
    <t>FPR — False Positive Rate</t>
  </si>
  <si>
    <t>FP / (FP + TN)</t>
  </si>
  <si>
    <t>The False Positive Rate measures the proportion of actual negative cases that are incorrectly classified as positive.</t>
  </si>
  <si>
    <t>A low FPR indicates that the model generates few false alarms and is better at avoiding incorrect positive classifications.</t>
  </si>
  <si>
    <t>A high FPR indicates that the model tends to classify negative cases as positive, meaning that False Positive errors are relatively common.</t>
  </si>
  <si>
    <t>This metric is especially important when false alarms, overdiagnosis, or unnecessary intervention carry a meaningful cost.</t>
  </si>
  <si>
    <t>FNR — False Negative Rate</t>
  </si>
  <si>
    <t>FN / (FN + TP)</t>
  </si>
  <si>
    <t>The False Negative Rate measures the proportion of actual positive cases that are incorrectly classified as negative.</t>
  </si>
  <si>
    <t>A low FNR indicates that the model misses few positive cases and is therefore better at detecting the target class.</t>
  </si>
  <si>
    <t>A high FNR indicates that the model misses a larger share of actual positive cases, meaning that False Negative errors are relatively common.</t>
  </si>
  <si>
    <t>This metric is especially important when missing a positive case carries a meaningful professional, clinical, or operational cost.</t>
  </si>
  <si>
    <t>Balanced Accuracy</t>
  </si>
  <si>
    <t>(Sensitivity + Specificity) / 2</t>
  </si>
  <si>
    <t>Balanced Accuracy combines Sensitivity and Specificity into a single measure and reflects the model's average ability to correctly identify both positive and negative cases.</t>
  </si>
  <si>
    <t>A high Balanced Accuracy indicates that the model performs relatively well in both classes rather than performing well in only one of them.</t>
  </si>
  <si>
    <t>This metric is especially useful when the numbers of positive and negative cases are imbalanced, because it reduces the distortion that can occur when using ordinary Accuracy alone.</t>
  </si>
  <si>
    <t>When there is a large gap between Sensitivity and Specificity, Balanced Accuracy provides a more balanced view of overall classification performance.</t>
  </si>
  <si>
    <t>2TP / (2TP + FP + FN)</t>
  </si>
  <si>
    <t>The F1 Score combines Precision and Sensitivity into a single measure, reflecting the balance between detecting positive cases and limiting false positive predictions.</t>
  </si>
  <si>
    <t>A high F1 Score indicates that the model both detects positive cases effectively and maintains good positive predictive precision.</t>
  </si>
  <si>
    <t>A low F1 Score usually reflects weakness in one or both components: the model may miss positive cases, generate too many false positive predictions, or both.</t>
  </si>
  <si>
    <t>This metric is especially useful when performance on the positive class is of particular interest, especially in imbalanced datasets.</t>
  </si>
  <si>
    <t>(Po − Pe) / (1 − Pe)</t>
  </si>
  <si>
    <t>Cohen’s Kappa measures agreement between the model's classifications and the true outcomes after correcting for agreement that could be expected by chance alone.</t>
  </si>
  <si>
    <t>A high Kappa indicates that agreement between the model and the observed outcomes is substantially greater than would be expected by chance.</t>
  </si>
  <si>
    <t>A low Kappa indicates that part of the observed agreement may be attributable to the data distribution or chance rather than to strong model performance.</t>
  </si>
  <si>
    <t>This metric is useful when evaluating classification quality beyond overall Accuracy, particularly when the class distribution is uneven.</t>
  </si>
  <si>
    <t>As a rough guide, values below 0.20 indicate weak agreement, values around 0.40–0.60 indicate moderate agreement, and values above 0.60 indicate good to high agreement.</t>
  </si>
  <si>
    <t>Notes</t>
  </si>
  <si>
    <t>• No single metric should be interpreted in isolation from the data context.</t>
  </si>
  <si>
    <t>• In imbalanced datasets, it is especially important to examine several performance metrics together.</t>
  </si>
  <si>
    <t>• The metrics in this calculator are intended to support interpretation and do not replace professional judgment.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</si>
</sst>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8">
    <font>
      <sz val="11"/>
      <color theme="1"/>
      <name val="Arial"/>
    </font>
    <font>
      <sz val="14"/>
      <color theme="1"/>
      <name val="Arial"/>
    </font>
    <font>
      <b/>
      <sz val="14"/>
      <color theme="1"/>
      <name val="Arial"/>
    </font>
    <font>
      <sz val="11"/>
      <color theme="10"/>
      <name val="Arial"/>
    </font>
    <font>
      <sz val="16"/>
      <color theme="1"/>
      <name val="Arial"/>
    </font>
    <font>
      <sz val="26"/>
      <color theme="1"/>
      <name val="Arial"/>
    </font>
    <font>
      <sz val="12"/>
      <color theme="1"/>
      <name val="Arial"/>
    </font>
    <font>
      <b/>
      <sz val="12"/>
      <color theme="1"/>
      <name val="Arial"/>
    </font>
    <font>
      <b/>
      <sz val="16"/>
      <color theme="1"/>
      <name val="Arial"/>
    </font>
    <font>
      <sz val="14"/>
      <color rgb="FFC00000"/>
      <name val="Arial"/>
    </font>
    <font>
      <sz val="14"/>
      <color theme="6" tint="-0.249977111117893"/>
      <name val="Arial"/>
    </font>
    <font>
      <sz val="10"/>
      <color theme="1"/>
      <name val="Arial Unicode MS"/>
    </font>
    <font>
      <sz val="8"/>
      <color theme="1"/>
      <name val="Arial"/>
    </font>
    <font>
      <b/>
      <sz val="14"/>
      <color theme="1"/>
      <name val="Arial"/>
    </font>
    <font>
      <i/>
      <sz val="11"/>
      <color theme="1"/>
      <name val="Arial"/>
    </font>
    <font>
      <sz val="12"/>
      <color theme="10"/>
      <name val="Arial"/>
    </font>
    <font>
      <sz val="10"/>
      <color theme="1"/>
      <name val="Calibri"/>
      <family val="2"/>
      <scheme val="minor"/>
    </font>
    <font>
      <b/>
      <i/>
      <sz val="8"/>
      <color theme="1"/>
      <name val="Arial"/>
      <family val="2"/>
    </font>
  </fonts>
  <fills count="10">
    <fill>
      <patternFill patternType="none"/>
    </fill>
    <fill>
      <patternFill patternType="gray125"/>
    </fill>
    <fill>
      <patternFill patternType="solid">
        <fgColor theme="9" tint="0.79995117038483843"/>
        <bgColor indexed="65"/>
      </patternFill>
    </fill>
    <fill>
      <patternFill patternType="solid">
        <fgColor rgb="FFFBC59D"/>
      </patternFill>
    </fill>
    <fill>
      <patternFill patternType="solid">
        <fgColor theme="6" tint="0.79995117038483843"/>
        <bgColor indexed="65"/>
      </patternFill>
    </fill>
    <fill>
      <patternFill patternType="solid">
        <fgColor theme="0" tint="-0.14999847407452621"/>
        <bgColor indexed="65"/>
      </patternFill>
    </fill>
    <fill>
      <patternFill patternType="solid">
        <fgColor theme="0" tint="-0.249977111117893"/>
        <bgColor indexed="65"/>
      </patternFill>
    </fill>
    <fill>
      <patternFill patternType="solid">
        <fgColor theme="7" tint="0.79995117038483843"/>
        <bgColor indexed="65"/>
      </patternFill>
    </fill>
    <fill>
      <patternFill patternType="solid">
        <fgColor theme="4" tint="0.79995117038483843"/>
        <bgColor indexed="65"/>
      </patternFill>
    </fill>
    <fill>
      <patternFill patternType="solid">
        <fgColor theme="3" tint="0.89996032593768116"/>
        <bgColor indexed="65"/>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41">
    <xf numFmtId="0" fontId="0" fillId="0" borderId="0" xfId="0"/>
    <xf numFmtId="0" fontId="0" fillId="0" borderId="0" xfId="0" applyAlignment="1">
      <alignment horizontal="center"/>
    </xf>
    <xf numFmtId="0" fontId="3" fillId="0" borderId="0" xfId="1" applyAlignment="1">
      <alignment horizontal="center"/>
    </xf>
    <xf numFmtId="0" fontId="7" fillId="0" borderId="0" xfId="0" applyFont="1" applyAlignment="1">
      <alignment horizontal="center" vertical="center" wrapText="1"/>
    </xf>
    <xf numFmtId="0" fontId="0" fillId="3" borderId="0" xfId="0" applyFill="1" applyAlignment="1">
      <alignment horizontal="center"/>
    </xf>
    <xf numFmtId="0" fontId="0" fillId="4" borderId="0" xfId="0" applyFill="1" applyAlignment="1">
      <alignment horizontal="center"/>
    </xf>
    <xf numFmtId="0" fontId="8" fillId="5" borderId="0" xfId="0" applyFont="1" applyFill="1" applyAlignment="1">
      <alignment horizontal="center" vertical="center" wrapText="1"/>
    </xf>
    <xf numFmtId="0" fontId="8" fillId="5" borderId="0" xfId="0" applyFont="1" applyFill="1" applyAlignment="1">
      <alignment horizontal="right" vertical="center" wrapText="1"/>
    </xf>
    <xf numFmtId="0" fontId="4" fillId="5" borderId="0" xfId="0" applyFont="1" applyFill="1" applyAlignment="1">
      <alignment vertical="center" wrapText="1"/>
    </xf>
    <xf numFmtId="0" fontId="8" fillId="6" borderId="0" xfId="0" applyFont="1" applyFill="1" applyAlignment="1">
      <alignment horizontal="right" vertical="center" wrapText="1"/>
    </xf>
    <xf numFmtId="0" fontId="4" fillId="6" borderId="0" xfId="0" applyFont="1" applyFill="1" applyAlignment="1">
      <alignment vertical="center" wrapText="1"/>
    </xf>
    <xf numFmtId="0" fontId="6" fillId="0" borderId="0" xfId="0" applyFont="1" applyAlignment="1">
      <alignment horizontal="center" vertical="center" wrapText="1"/>
    </xf>
    <xf numFmtId="0" fontId="6" fillId="5" borderId="0" xfId="0" applyFont="1" applyFill="1" applyAlignment="1">
      <alignment horizontal="center" vertical="center" wrapText="1"/>
    </xf>
    <xf numFmtId="0" fontId="9" fillId="0" borderId="0" xfId="0" applyFont="1" applyAlignment="1">
      <alignment horizontal="left" vertical="center"/>
    </xf>
    <xf numFmtId="0" fontId="10" fillId="0" borderId="0" xfId="0" applyFont="1" applyAlignment="1">
      <alignment horizontal="left" vertical="center"/>
    </xf>
    <xf numFmtId="164" fontId="6" fillId="5" borderId="0" xfId="0" applyNumberFormat="1" applyFont="1" applyFill="1" applyAlignment="1">
      <alignment horizontal="center" vertical="center" wrapText="1"/>
    </xf>
    <xf numFmtId="10" fontId="6" fillId="0" borderId="0" xfId="0" applyNumberFormat="1" applyFont="1" applyAlignment="1">
      <alignment horizontal="center" vertical="center" wrapText="1"/>
    </xf>
    <xf numFmtId="10" fontId="6" fillId="5" borderId="0" xfId="0" applyNumberFormat="1" applyFont="1" applyFill="1" applyAlignment="1">
      <alignment horizontal="center" vertical="center" wrapText="1"/>
    </xf>
    <xf numFmtId="0" fontId="11" fillId="0" borderId="0" xfId="0" applyFont="1"/>
    <xf numFmtId="0" fontId="3" fillId="0" borderId="0" xfId="1" applyAlignment="1">
      <alignment horizontal="left"/>
    </xf>
    <xf numFmtId="0" fontId="12" fillId="0" borderId="0" xfId="0" applyFont="1"/>
    <xf numFmtId="0" fontId="3" fillId="0" borderId="0" xfId="1" applyAlignment="1">
      <alignment vertical="center" wrapText="1"/>
    </xf>
    <xf numFmtId="0" fontId="3" fillId="5" borderId="0" xfId="1" applyFill="1" applyAlignment="1">
      <alignment vertical="center" wrapText="1"/>
    </xf>
    <xf numFmtId="0" fontId="0" fillId="8" borderId="0" xfId="0" applyFill="1" applyAlignment="1">
      <alignment horizontal="center" vertical="center"/>
    </xf>
    <xf numFmtId="49" fontId="3" fillId="0" borderId="0" xfId="1" applyNumberFormat="1" applyAlignment="1">
      <alignment horizontal="center"/>
    </xf>
    <xf numFmtId="0" fontId="0" fillId="0" borderId="0" xfId="0" applyAlignment="1">
      <alignment horizontal="left" wrapText="1"/>
    </xf>
    <xf numFmtId="0" fontId="5" fillId="0" borderId="0" xfId="0" applyFont="1" applyAlignment="1">
      <alignment horizontal="center"/>
    </xf>
    <xf numFmtId="0" fontId="0" fillId="0" borderId="0" xfId="0" applyAlignment="1">
      <alignment horizontal="center"/>
    </xf>
    <xf numFmtId="0" fontId="1" fillId="7" borderId="0" xfId="0" applyFont="1" applyFill="1" applyAlignment="1">
      <alignment horizontal="center" vertical="center"/>
    </xf>
    <xf numFmtId="0" fontId="0" fillId="0" borderId="0" xfId="0" applyAlignment="1">
      <alignment horizontal="left" wrapText="1"/>
    </xf>
    <xf numFmtId="0" fontId="0" fillId="0" borderId="0" xfId="0" applyAlignment="1">
      <alignment horizontal="right"/>
    </xf>
    <xf numFmtId="0" fontId="0" fillId="0" borderId="0" xfId="0"/>
    <xf numFmtId="0" fontId="2" fillId="2" borderId="0" xfId="0" applyFont="1" applyFill="1" applyAlignment="1">
      <alignment horizontal="left" wrapText="1"/>
    </xf>
    <xf numFmtId="0" fontId="2" fillId="2" borderId="0" xfId="0" applyFont="1" applyFill="1" applyAlignment="1">
      <alignment horizontal="center"/>
    </xf>
    <xf numFmtId="0" fontId="14" fillId="5" borderId="0" xfId="0" applyFont="1" applyFill="1" applyAlignment="1">
      <alignment horizontal="left" wrapText="1"/>
    </xf>
    <xf numFmtId="0" fontId="14" fillId="5" borderId="0" xfId="0" applyFont="1" applyFill="1" applyAlignment="1">
      <alignment horizontal="center"/>
    </xf>
    <xf numFmtId="0" fontId="2" fillId="9" borderId="0" xfId="0" applyFont="1" applyFill="1" applyAlignment="1">
      <alignment horizontal="left" wrapText="1"/>
    </xf>
    <xf numFmtId="0" fontId="13" fillId="9" borderId="0" xfId="0" applyFont="1" applyFill="1" applyAlignment="1">
      <alignment horizontal="center"/>
    </xf>
    <xf numFmtId="0" fontId="15" fillId="0" borderId="0" xfId="0" applyFont="1" applyAlignment="1">
      <alignment horizontal="left" wrapText="1"/>
    </xf>
    <xf numFmtId="0" fontId="15" fillId="0" borderId="0" xfId="1" applyFont="1" applyAlignment="1">
      <alignment horizontal="center"/>
    </xf>
    <xf numFmtId="0" fontId="17" fillId="0" borderId="0" xfId="0" applyFont="1" applyAlignment="1">
      <alignment horizontal="center" vertical="center" wrapText="1"/>
    </xf>
  </cellXfs>
  <cellStyles count="2">
    <cellStyle name="Hyperlink" xfId="1" xr:uid="{00000000-0005-0000-0000-000000000000}"/>
    <cellStyle name="Normal" xfId="0" builtinId="0"/>
  </cellStyles>
  <dxfs count="5">
    <dxf>
      <font>
        <b/>
      </font>
      <fill>
        <patternFill>
          <bgColor rgb="FF00B050"/>
        </patternFill>
      </fill>
    </dxf>
    <dxf>
      <font>
        <b/>
      </font>
      <fill>
        <patternFill>
          <bgColor theme="9" tint="0.59993285927915285"/>
        </patternFill>
      </fill>
    </dxf>
    <dxf>
      <font>
        <b/>
      </font>
      <fill>
        <patternFill>
          <bgColor rgb="FFFFC000"/>
        </patternFill>
      </fill>
    </dxf>
    <dxf>
      <font>
        <b/>
      </font>
      <fill>
        <patternFill>
          <bgColor rgb="FFFF0000"/>
        </patternFill>
      </fill>
    </dxf>
    <dxf>
      <font>
        <b/>
      </font>
      <fill>
        <patternFill>
          <bgColor theme="0"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3</xdr:col>
      <xdr:colOff>1577340</xdr:colOff>
      <xdr:row>1</xdr:row>
      <xdr:rowOff>104777</xdr:rowOff>
    </xdr:from>
    <xdr:to>
      <xdr:col>3</xdr:col>
      <xdr:colOff>2950033</xdr:colOff>
      <xdr:row>3</xdr:row>
      <xdr:rowOff>131446</xdr:rowOff>
    </xdr:to>
    <xdr:pic>
      <xdr:nvPicPr>
        <xdr:cNvPr id="2" name="/xl/media/image1.jpe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Dataninjapro@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1"/>
  <sheetViews>
    <sheetView showGridLines="0" tabSelected="1" zoomScale="85" zoomScaleNormal="85" workbookViewId="0">
      <selection activeCell="E1" sqref="E1"/>
    </sheetView>
  </sheetViews>
  <sheetFormatPr defaultRowHeight="14.25"/>
  <cols>
    <col min="2" max="2" width="15.875" bestFit="1" customWidth="1"/>
    <col min="3" max="3" width="32.125" customWidth="1"/>
    <col min="4" max="4" width="39.125" customWidth="1"/>
    <col min="5" max="5" width="10.875" customWidth="1"/>
  </cols>
  <sheetData>
    <row r="1" spans="1:4" ht="33">
      <c r="A1" s="26" t="s">
        <v>0</v>
      </c>
      <c r="B1" s="26"/>
      <c r="C1" s="26"/>
      <c r="D1" s="26"/>
    </row>
    <row r="2" spans="1:4">
      <c r="A2" s="27" t="s">
        <v>1</v>
      </c>
      <c r="B2" s="27"/>
      <c r="C2" s="27"/>
      <c r="D2" s="27"/>
    </row>
    <row r="3" spans="1:4">
      <c r="B3" s="24" t="s">
        <v>2</v>
      </c>
      <c r="C3" s="2" t="s">
        <v>3</v>
      </c>
      <c r="D3" s="19" t="s">
        <v>4</v>
      </c>
    </row>
    <row r="6" spans="1:4" ht="25.15" customHeight="1">
      <c r="B6" s="28" t="s">
        <v>5</v>
      </c>
      <c r="C6" s="13" t="s">
        <v>6</v>
      </c>
      <c r="D6" s="23">
        <v>350</v>
      </c>
    </row>
    <row r="7" spans="1:4" ht="25.15" customHeight="1">
      <c r="B7" s="28"/>
      <c r="C7" s="14" t="s">
        <v>7</v>
      </c>
      <c r="D7" s="23">
        <v>6</v>
      </c>
    </row>
    <row r="8" spans="1:4" ht="25.15" customHeight="1">
      <c r="B8" s="28"/>
      <c r="C8" s="13" t="s">
        <v>8</v>
      </c>
      <c r="D8" s="23">
        <v>100</v>
      </c>
    </row>
    <row r="9" spans="1:4" ht="25.15" customHeight="1">
      <c r="B9" s="28"/>
      <c r="C9" s="14" t="s">
        <v>9</v>
      </c>
      <c r="D9" s="23">
        <v>15</v>
      </c>
    </row>
    <row r="13" spans="1:4" ht="40.5">
      <c r="B13" s="6" t="s">
        <v>10</v>
      </c>
      <c r="C13" s="9" t="s">
        <v>11</v>
      </c>
      <c r="D13" s="7" t="s">
        <v>12</v>
      </c>
    </row>
    <row r="14" spans="1:4" ht="20.25">
      <c r="B14" s="10" t="s">
        <v>11</v>
      </c>
      <c r="C14" s="5" t="s">
        <v>13</v>
      </c>
      <c r="D14" s="4" t="s">
        <v>14</v>
      </c>
    </row>
    <row r="15" spans="1:4" ht="20.25">
      <c r="B15" s="8" t="s">
        <v>12</v>
      </c>
      <c r="C15" s="4" t="s">
        <v>15</v>
      </c>
      <c r="D15" s="5" t="s">
        <v>16</v>
      </c>
    </row>
    <row r="16" spans="1:4" ht="26.45" customHeight="1"/>
    <row r="17" spans="2:5" ht="15.75">
      <c r="B17" s="3" t="s">
        <v>17</v>
      </c>
      <c r="C17" s="3" t="s">
        <v>18</v>
      </c>
      <c r="D17" s="3" t="s">
        <v>19</v>
      </c>
      <c r="E17" s="3" t="s">
        <v>20</v>
      </c>
    </row>
    <row r="18" spans="2:5" ht="16.899999999999999" customHeight="1">
      <c r="B18" s="21" t="s">
        <v>21</v>
      </c>
      <c r="C18" s="11" t="s">
        <v>22</v>
      </c>
      <c r="D18" s="16">
        <f>IF((D9+D8)=0,"N/A",D9/(D9+D8))</f>
        <v>0.13043478260869565</v>
      </c>
      <c r="E18" s="1" t="str">
        <f>IF(D18="N/A","Undefined",IF(D18&gt;=0.9,"Excellent",IF(D18&gt;=0.8,"Good",IF(D18&gt;=0.7,"Moderate","Low"))))</f>
        <v>Low</v>
      </c>
    </row>
    <row r="19" spans="2:5" ht="16.899999999999999" customHeight="1">
      <c r="B19" s="22" t="s">
        <v>23</v>
      </c>
      <c r="C19" s="12" t="s">
        <v>24</v>
      </c>
      <c r="D19" s="17">
        <f>IF((D6+D7)=0,"N/A",D6/(D6+D7))</f>
        <v>0.9831460674157303</v>
      </c>
      <c r="E19" s="1" t="str">
        <f>IF(D19="N/A","Undefined",IF(D19&gt;=0.9,"Excellent",IF(D19&gt;=0.8,"Good",IF(D19&gt;=0.7,"Moderate","Low"))))</f>
        <v>Excellent</v>
      </c>
    </row>
    <row r="20" spans="2:5" ht="16.899999999999999" customHeight="1">
      <c r="B20" s="21" t="s">
        <v>25</v>
      </c>
      <c r="C20" s="11" t="s">
        <v>26</v>
      </c>
      <c r="D20" s="16">
        <f>IF((D9+D7)=0,"N/A",D9/(D9+D7))</f>
        <v>0.7142857142857143</v>
      </c>
      <c r="E20" s="1" t="str">
        <f>IF(D20="N/A","Undefined",IF(D20&gt;=0.9,"Excellent",IF(D20&gt;=0.8,"Good",IF(D20&gt;=0.7,"Moderate","Low"))))</f>
        <v>Moderate</v>
      </c>
    </row>
    <row r="21" spans="2:5" ht="16.899999999999999" customHeight="1">
      <c r="B21" s="22" t="s">
        <v>27</v>
      </c>
      <c r="C21" s="12" t="s">
        <v>28</v>
      </c>
      <c r="D21" s="17">
        <f>IF((D6+D8)=0,"N/A",D6/(D6+D8))</f>
        <v>0.77777777777777779</v>
      </c>
      <c r="E21" s="1" t="str">
        <f>IF(D21="N/A","Undefined",IF(D21&gt;=0.9,"Excellent",IF(D21&gt;=0.8,"Good",IF(D21&gt;=0.7,"Moderate","Low"))))</f>
        <v>Moderate</v>
      </c>
    </row>
    <row r="22" spans="2:5" ht="16.899999999999999" customHeight="1">
      <c r="B22" s="21" t="s">
        <v>29</v>
      </c>
      <c r="C22" s="11" t="s">
        <v>30</v>
      </c>
      <c r="D22" s="16">
        <f>IF(SUM(D6:D9)=0,"N/A",(D9+D6)/SUM(D6:D9))</f>
        <v>0.77494692144373678</v>
      </c>
      <c r="E22" s="1" t="str">
        <f>IF(D22="N/A","Undefined",IF(D22&gt;=0.9,"Excellent",IF(D22&gt;=0.8,"Good",IF(D22&gt;=0.7,"Moderate","Low"))))</f>
        <v>Moderate</v>
      </c>
    </row>
    <row r="23" spans="2:5" ht="16.899999999999999" customHeight="1">
      <c r="B23" s="22" t="s">
        <v>31</v>
      </c>
      <c r="C23" s="12" t="s">
        <v>32</v>
      </c>
      <c r="D23" s="17">
        <f>IF((D7+D6)=0,"N/A",D7/(D7+D6))</f>
        <v>1.6853932584269662E-2</v>
      </c>
      <c r="E23" s="1" t="str">
        <f>IF(D23="N/A","Undefined",IF(D23&lt;=0.1,"Excellent",IF(D23&lt;=0.2,"Good",IF(D23&lt;=0.3,"Moderate","Low"))))</f>
        <v>Excellent</v>
      </c>
    </row>
    <row r="24" spans="2:5" ht="16.899999999999999" customHeight="1">
      <c r="B24" s="21" t="s">
        <v>33</v>
      </c>
      <c r="C24" s="11" t="s">
        <v>34</v>
      </c>
      <c r="D24" s="16">
        <f>IF((D8+D9)=0,"N/A",D8/(D8+D9))</f>
        <v>0.86956521739130432</v>
      </c>
      <c r="E24" s="1" t="str">
        <f>IF(D24="N/A","Undefined",IF(D24&lt;=0.1,"Excellent",IF(D24&lt;=0.2,"Good",IF(D24&lt;=0.3,"Moderate","Low"))))</f>
        <v>Low</v>
      </c>
    </row>
    <row r="25" spans="2:5" ht="16.899999999999999" customHeight="1">
      <c r="B25" s="22" t="s">
        <v>35</v>
      </c>
      <c r="C25" s="12" t="s">
        <v>36</v>
      </c>
      <c r="D25" s="17">
        <f>IF(OR((D9+D8)=0,(D6+D7)=0),"N/A",((D9/(D9+D8))+(D6/(D6+D7)))/2)</f>
        <v>0.55679042501221299</v>
      </c>
      <c r="E25" s="1" t="str">
        <f>IF(D25="N/A","Undefined",IF(D25&gt;=0.9,"Excellent",IF(D25&gt;=0.8,"Good",IF(D25&gt;=0.7,"Moderate","Low"))))</f>
        <v>Low</v>
      </c>
    </row>
    <row r="26" spans="2:5" ht="16.899999999999999" customHeight="1">
      <c r="B26" s="21" t="s">
        <v>37</v>
      </c>
      <c r="C26" s="11" t="s">
        <v>38</v>
      </c>
      <c r="D26" s="16">
        <f>IF((2*D9+D7+D8)=0,"N/A",(2*D9)/(2*D9+D7+D8))</f>
        <v>0.22058823529411764</v>
      </c>
      <c r="E26" s="1" t="str">
        <f>IF(D26="N/A","Undefined",IF(D26&gt;=0.9,"Excellent",IF(D26&gt;=0.8,"Good",IF(D26&gt;=0.7,"Moderate","Low"))))</f>
        <v>Low</v>
      </c>
    </row>
    <row r="27" spans="2:5" ht="16.899999999999999" customHeight="1">
      <c r="B27" s="22" t="s">
        <v>39</v>
      </c>
      <c r="C27" s="12" t="s">
        <v>40</v>
      </c>
      <c r="D27" s="15">
        <f>Calc_Backend!B9</f>
        <v>0.15702563063519415</v>
      </c>
      <c r="E27" s="1" t="str">
        <f>IF(D27="N/A","Undefined",IF(D27&gt;=0.6,"Excellent",IF(D27&gt;=0.4,"Good",IF(D27&gt;=0.2,"Moderate","Low"))))</f>
        <v>Low</v>
      </c>
    </row>
    <row r="28" spans="2:5">
      <c r="C28" s="20"/>
      <c r="D28" s="20" t="s">
        <v>41</v>
      </c>
    </row>
    <row r="30" spans="2:5" ht="35.25" customHeight="1">
      <c r="B30" s="40" t="s">
        <v>53</v>
      </c>
      <c r="C30" s="40"/>
      <c r="D30" s="40"/>
      <c r="E30" s="40"/>
    </row>
    <row r="31" spans="2:5">
      <c r="B31" t="s">
        <v>42</v>
      </c>
    </row>
  </sheetData>
  <mergeCells count="4">
    <mergeCell ref="A1:D1"/>
    <mergeCell ref="A2:D2"/>
    <mergeCell ref="B6:B9"/>
    <mergeCell ref="B30:E30"/>
  </mergeCells>
  <conditionalFormatting sqref="E18:E27">
    <cfRule type="expression" dxfId="4" priority="1">
      <formula>$E18="Undefined"</formula>
    </cfRule>
    <cfRule type="expression" dxfId="3" priority="2">
      <formula>$E18="Low"</formula>
    </cfRule>
    <cfRule type="expression" dxfId="2" priority="3">
      <formula>$E18="Moderate"</formula>
    </cfRule>
    <cfRule type="expression" dxfId="1" priority="4">
      <formula>$E18="Good"</formula>
    </cfRule>
    <cfRule type="expression" dxfId="0" priority="5">
      <formula>$E18="Excellent"</formula>
    </cfRule>
  </conditionalFormatting>
  <hyperlinks>
    <hyperlink ref="C3" r:id="rId1" xr:uid="{00000000-0004-0000-0000-000000000000}"/>
    <hyperlink ref="B18" location="Method!A5" display="Sensitivity" xr:uid="{00000000-0004-0000-0000-000001000000}"/>
    <hyperlink ref="B19" location="Method!A5" display="Specificity" xr:uid="{00000000-0004-0000-0000-000002000000}"/>
    <hyperlink ref="B20" location="Method!A19" display="Precision (PPV)" xr:uid="{00000000-0004-0000-0000-000003000000}"/>
    <hyperlink ref="B21" location="Method!A26" display="NPV" xr:uid="{00000000-0004-0000-0000-000004000000}"/>
    <hyperlink ref="B22" location="Method!A33" display="Accuracy" xr:uid="{00000000-0004-0000-0000-000005000000}"/>
    <hyperlink ref="B23" location="Method!A40" display="FPR" xr:uid="{00000000-0004-0000-0000-000006000000}"/>
    <hyperlink ref="B24" location="Method!A47" display="FNR" xr:uid="{00000000-0004-0000-0000-000007000000}"/>
    <hyperlink ref="B25" location="Method!A54" display="Bal. Accuracy" xr:uid="{00000000-0004-0000-0000-000008000000}"/>
    <hyperlink ref="B26" location="Calculator!A61" display="F1 Score" xr:uid="{00000000-0004-0000-0000-000009000000}"/>
    <hyperlink ref="B27" location="Method!A68" display="Cohen’s Kappa" xr:uid="{00000000-0004-0000-0000-00000A000000}"/>
  </hyperlink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80"/>
  <sheetViews>
    <sheetView workbookViewId="0">
      <selection activeCell="A2" sqref="A2:D2"/>
    </sheetView>
  </sheetViews>
  <sheetFormatPr defaultRowHeight="14.25"/>
  <cols>
    <col min="1" max="1" width="22.875" customWidth="1"/>
    <col min="2" max="2" width="31.25" customWidth="1"/>
    <col min="3" max="3" width="27.875" customWidth="1"/>
    <col min="4" max="4" width="32" customWidth="1"/>
  </cols>
  <sheetData>
    <row r="1" spans="1:4" ht="18">
      <c r="A1" s="36" t="s">
        <v>54</v>
      </c>
      <c r="B1" s="37"/>
      <c r="C1" s="37"/>
      <c r="D1" s="37"/>
    </row>
    <row r="2" spans="1:4" ht="15">
      <c r="A2" s="38" t="str">
        <f>HYPERLINK("#Calculator!A1","Back to Calculator")</f>
        <v>Back to Calculator</v>
      </c>
      <c r="B2" s="39"/>
      <c r="C2" s="39"/>
      <c r="D2" s="39"/>
    </row>
    <row r="3" spans="1:4">
      <c r="A3" s="29" t="s">
        <v>55</v>
      </c>
      <c r="B3" s="27"/>
      <c r="C3" s="27"/>
      <c r="D3" s="27"/>
    </row>
    <row r="4" spans="1:4">
      <c r="A4" s="25"/>
    </row>
    <row r="5" spans="1:4" ht="18">
      <c r="A5" s="32" t="s">
        <v>56</v>
      </c>
      <c r="B5" s="33"/>
      <c r="C5" s="33"/>
      <c r="D5" s="33"/>
    </row>
    <row r="6" spans="1:4">
      <c r="A6" s="34" t="s">
        <v>57</v>
      </c>
      <c r="B6" s="35"/>
      <c r="C6" s="35"/>
      <c r="D6" s="35"/>
    </row>
    <row r="7" spans="1:4">
      <c r="A7" s="29" t="s">
        <v>58</v>
      </c>
      <c r="B7" s="30"/>
      <c r="C7" s="30"/>
      <c r="D7" s="30"/>
    </row>
    <row r="8" spans="1:4">
      <c r="A8" s="29" t="s">
        <v>59</v>
      </c>
      <c r="B8" s="30"/>
      <c r="C8" s="30"/>
      <c r="D8" s="30"/>
    </row>
    <row r="9" spans="1:4">
      <c r="A9" s="29" t="s">
        <v>60</v>
      </c>
      <c r="B9" s="30"/>
      <c r="C9" s="30"/>
      <c r="D9" s="30"/>
    </row>
    <row r="10" spans="1:4">
      <c r="A10" s="29" t="s">
        <v>61</v>
      </c>
      <c r="B10" s="30"/>
      <c r="C10" s="30"/>
      <c r="D10" s="30"/>
    </row>
    <row r="11" spans="1:4">
      <c r="A11" s="25"/>
    </row>
    <row r="12" spans="1:4" ht="18">
      <c r="A12" s="32" t="s">
        <v>23</v>
      </c>
      <c r="B12" s="33"/>
      <c r="C12" s="33"/>
      <c r="D12" s="33"/>
    </row>
    <row r="13" spans="1:4">
      <c r="A13" s="34" t="s">
        <v>62</v>
      </c>
      <c r="B13" s="35"/>
      <c r="C13" s="35"/>
      <c r="D13" s="35"/>
    </row>
    <row r="14" spans="1:4">
      <c r="A14" s="29" t="s">
        <v>63</v>
      </c>
      <c r="B14" s="30"/>
      <c r="C14" s="30"/>
      <c r="D14" s="30"/>
    </row>
    <row r="15" spans="1:4">
      <c r="A15" s="29" t="s">
        <v>64</v>
      </c>
      <c r="B15" s="31"/>
      <c r="C15" s="31"/>
      <c r="D15" s="31"/>
    </row>
    <row r="16" spans="1:4">
      <c r="A16" s="29" t="s">
        <v>65</v>
      </c>
      <c r="B16" s="31"/>
      <c r="C16" s="31"/>
      <c r="D16" s="31"/>
    </row>
    <row r="17" spans="1:4">
      <c r="A17" s="29" t="s">
        <v>66</v>
      </c>
      <c r="B17" s="31"/>
      <c r="C17" s="31"/>
      <c r="D17" s="31"/>
    </row>
    <row r="18" spans="1:4">
      <c r="A18" s="25"/>
    </row>
    <row r="19" spans="1:4" ht="18">
      <c r="A19" s="32" t="s">
        <v>67</v>
      </c>
      <c r="B19" s="33"/>
      <c r="C19" s="33"/>
      <c r="D19" s="33"/>
    </row>
    <row r="20" spans="1:4">
      <c r="A20" s="34" t="s">
        <v>68</v>
      </c>
      <c r="B20" s="35"/>
      <c r="C20" s="35"/>
      <c r="D20" s="35"/>
    </row>
    <row r="21" spans="1:4">
      <c r="A21" s="29" t="s">
        <v>69</v>
      </c>
      <c r="B21" s="31"/>
      <c r="C21" s="31"/>
      <c r="D21" s="31"/>
    </row>
    <row r="22" spans="1:4">
      <c r="A22" s="29" t="s">
        <v>70</v>
      </c>
      <c r="B22" s="31"/>
      <c r="C22" s="31"/>
      <c r="D22" s="31"/>
    </row>
    <row r="23" spans="1:4">
      <c r="A23" s="29" t="s">
        <v>71</v>
      </c>
      <c r="B23" s="31"/>
      <c r="C23" s="31"/>
      <c r="D23" s="31"/>
    </row>
    <row r="24" spans="1:4">
      <c r="A24" s="29" t="s">
        <v>72</v>
      </c>
      <c r="B24" s="31"/>
      <c r="C24" s="31"/>
      <c r="D24" s="31"/>
    </row>
    <row r="25" spans="1:4">
      <c r="A25" s="25"/>
    </row>
    <row r="26" spans="1:4" ht="18">
      <c r="A26" s="32" t="s">
        <v>73</v>
      </c>
      <c r="B26" s="33"/>
      <c r="C26" s="33"/>
      <c r="D26" s="33"/>
    </row>
    <row r="27" spans="1:4">
      <c r="A27" s="34" t="s">
        <v>74</v>
      </c>
      <c r="B27" s="35"/>
      <c r="C27" s="35"/>
      <c r="D27" s="35"/>
    </row>
    <row r="28" spans="1:4">
      <c r="A28" s="29" t="s">
        <v>75</v>
      </c>
      <c r="B28" s="31"/>
      <c r="C28" s="31"/>
      <c r="D28" s="31"/>
    </row>
    <row r="29" spans="1:4">
      <c r="A29" s="29" t="s">
        <v>76</v>
      </c>
      <c r="B29" s="31"/>
      <c r="C29" s="31"/>
      <c r="D29" s="31"/>
    </row>
    <row r="30" spans="1:4">
      <c r="A30" s="29" t="s">
        <v>77</v>
      </c>
      <c r="B30" s="31"/>
      <c r="C30" s="31"/>
      <c r="D30" s="31"/>
    </row>
    <row r="31" spans="1:4">
      <c r="A31" s="29" t="s">
        <v>78</v>
      </c>
      <c r="B31" s="31"/>
      <c r="C31" s="31"/>
      <c r="D31" s="31"/>
    </row>
    <row r="32" spans="1:4">
      <c r="A32" s="25"/>
    </row>
    <row r="33" spans="1:4" ht="18">
      <c r="A33" s="32" t="s">
        <v>79</v>
      </c>
      <c r="B33" s="33"/>
      <c r="C33" s="33"/>
      <c r="D33" s="33"/>
    </row>
    <row r="34" spans="1:4">
      <c r="A34" s="34" t="s">
        <v>80</v>
      </c>
      <c r="B34" s="35"/>
      <c r="C34" s="35"/>
      <c r="D34" s="35"/>
    </row>
    <row r="35" spans="1:4">
      <c r="A35" s="29" t="s">
        <v>81</v>
      </c>
      <c r="B35" s="30"/>
      <c r="C35" s="30"/>
      <c r="D35" s="30"/>
    </row>
    <row r="36" spans="1:4">
      <c r="A36" s="29" t="s">
        <v>82</v>
      </c>
      <c r="B36" s="30"/>
      <c r="C36" s="30"/>
      <c r="D36" s="30"/>
    </row>
    <row r="37" spans="1:4">
      <c r="A37" s="29" t="s">
        <v>83</v>
      </c>
      <c r="B37" s="30"/>
      <c r="C37" s="30"/>
      <c r="D37" s="30"/>
    </row>
    <row r="38" spans="1:4">
      <c r="A38" s="29" t="s">
        <v>84</v>
      </c>
      <c r="B38" s="30"/>
      <c r="C38" s="30"/>
      <c r="D38" s="30"/>
    </row>
    <row r="39" spans="1:4">
      <c r="A39" s="25"/>
    </row>
    <row r="40" spans="1:4" ht="18">
      <c r="A40" s="32" t="s">
        <v>85</v>
      </c>
      <c r="B40" s="33"/>
      <c r="C40" s="33"/>
      <c r="D40" s="33"/>
    </row>
    <row r="41" spans="1:4">
      <c r="A41" s="34" t="s">
        <v>86</v>
      </c>
      <c r="B41" s="35"/>
      <c r="C41" s="35"/>
      <c r="D41" s="35"/>
    </row>
    <row r="42" spans="1:4">
      <c r="A42" s="29" t="s">
        <v>87</v>
      </c>
      <c r="B42" s="31"/>
      <c r="C42" s="31"/>
      <c r="D42" s="31"/>
    </row>
    <row r="43" spans="1:4">
      <c r="A43" s="29" t="s">
        <v>88</v>
      </c>
      <c r="B43" s="31"/>
      <c r="C43" s="31"/>
      <c r="D43" s="31"/>
    </row>
    <row r="44" spans="1:4">
      <c r="A44" s="29" t="s">
        <v>89</v>
      </c>
      <c r="B44" s="31"/>
      <c r="C44" s="31"/>
      <c r="D44" s="31"/>
    </row>
    <row r="45" spans="1:4">
      <c r="A45" s="29" t="s">
        <v>90</v>
      </c>
      <c r="B45" s="31"/>
      <c r="C45" s="31"/>
      <c r="D45" s="31"/>
    </row>
    <row r="46" spans="1:4">
      <c r="A46" s="25"/>
    </row>
    <row r="47" spans="1:4" ht="18">
      <c r="A47" s="32" t="s">
        <v>91</v>
      </c>
      <c r="B47" s="33"/>
      <c r="C47" s="33"/>
      <c r="D47" s="33"/>
    </row>
    <row r="48" spans="1:4">
      <c r="A48" s="34" t="s">
        <v>92</v>
      </c>
      <c r="B48" s="35"/>
      <c r="C48" s="35"/>
      <c r="D48" s="35"/>
    </row>
    <row r="49" spans="1:4">
      <c r="A49" s="29" t="s">
        <v>93</v>
      </c>
      <c r="B49" s="31"/>
      <c r="C49" s="31"/>
      <c r="D49" s="31"/>
    </row>
    <row r="50" spans="1:4">
      <c r="A50" s="29" t="s">
        <v>94</v>
      </c>
      <c r="B50" s="31"/>
      <c r="C50" s="31"/>
      <c r="D50" s="31"/>
    </row>
    <row r="51" spans="1:4">
      <c r="A51" s="29" t="s">
        <v>95</v>
      </c>
      <c r="B51" s="31"/>
      <c r="C51" s="31"/>
      <c r="D51" s="31"/>
    </row>
    <row r="52" spans="1:4">
      <c r="A52" s="29" t="s">
        <v>96</v>
      </c>
      <c r="B52" s="31"/>
      <c r="C52" s="31"/>
      <c r="D52" s="31"/>
    </row>
    <row r="53" spans="1:4">
      <c r="A53" s="25"/>
    </row>
    <row r="54" spans="1:4" ht="18">
      <c r="A54" s="32" t="s">
        <v>97</v>
      </c>
      <c r="B54" s="33"/>
      <c r="C54" s="33"/>
      <c r="D54" s="33"/>
    </row>
    <row r="55" spans="1:4">
      <c r="A55" s="34" t="s">
        <v>98</v>
      </c>
      <c r="B55" s="35"/>
      <c r="C55" s="35"/>
      <c r="D55" s="35"/>
    </row>
    <row r="56" spans="1:4">
      <c r="A56" s="29" t="s">
        <v>99</v>
      </c>
      <c r="B56" s="31"/>
      <c r="C56" s="31"/>
      <c r="D56" s="31"/>
    </row>
    <row r="57" spans="1:4">
      <c r="A57" s="29" t="s">
        <v>100</v>
      </c>
      <c r="B57" s="31"/>
      <c r="C57" s="31"/>
      <c r="D57" s="31"/>
    </row>
    <row r="58" spans="1:4">
      <c r="A58" s="29" t="s">
        <v>101</v>
      </c>
      <c r="B58" s="31"/>
      <c r="C58" s="31"/>
      <c r="D58" s="31"/>
    </row>
    <row r="59" spans="1:4">
      <c r="A59" s="29" t="s">
        <v>102</v>
      </c>
      <c r="B59" s="31"/>
      <c r="C59" s="31"/>
      <c r="D59" s="31"/>
    </row>
    <row r="60" spans="1:4">
      <c r="A60" s="25"/>
    </row>
    <row r="61" spans="1:4" ht="18">
      <c r="A61" s="32" t="s">
        <v>37</v>
      </c>
      <c r="B61" s="33"/>
      <c r="C61" s="33"/>
      <c r="D61" s="33"/>
    </row>
    <row r="62" spans="1:4">
      <c r="A62" s="34" t="s">
        <v>103</v>
      </c>
      <c r="B62" s="35"/>
      <c r="C62" s="35"/>
      <c r="D62" s="35"/>
    </row>
    <row r="63" spans="1:4">
      <c r="A63" s="29" t="s">
        <v>104</v>
      </c>
      <c r="B63" s="31"/>
      <c r="C63" s="31"/>
      <c r="D63" s="31"/>
    </row>
    <row r="64" spans="1:4">
      <c r="A64" s="29" t="s">
        <v>105</v>
      </c>
      <c r="B64" s="31"/>
      <c r="C64" s="31"/>
      <c r="D64" s="31"/>
    </row>
    <row r="65" spans="1:4">
      <c r="A65" s="29" t="s">
        <v>106</v>
      </c>
      <c r="B65" s="31"/>
      <c r="C65" s="31"/>
      <c r="D65" s="31"/>
    </row>
    <row r="66" spans="1:4">
      <c r="A66" s="29" t="s">
        <v>107</v>
      </c>
      <c r="B66" s="31"/>
      <c r="C66" s="31"/>
      <c r="D66" s="31"/>
    </row>
    <row r="67" spans="1:4">
      <c r="A67" s="25"/>
    </row>
    <row r="68" spans="1:4" ht="18">
      <c r="A68" s="32" t="s">
        <v>39</v>
      </c>
      <c r="B68" s="33"/>
      <c r="C68" s="33"/>
      <c r="D68" s="33"/>
    </row>
    <row r="69" spans="1:4">
      <c r="A69" s="34" t="s">
        <v>108</v>
      </c>
      <c r="B69" s="35"/>
      <c r="C69" s="35"/>
      <c r="D69" s="35"/>
    </row>
    <row r="70" spans="1:4">
      <c r="A70" s="29" t="s">
        <v>109</v>
      </c>
      <c r="B70" s="31"/>
      <c r="C70" s="31"/>
      <c r="D70" s="31"/>
    </row>
    <row r="71" spans="1:4">
      <c r="A71" s="29" t="s">
        <v>110</v>
      </c>
      <c r="B71" s="31"/>
      <c r="C71" s="31"/>
      <c r="D71" s="31"/>
    </row>
    <row r="72" spans="1:4">
      <c r="A72" s="29" t="s">
        <v>111</v>
      </c>
      <c r="B72" s="31"/>
      <c r="C72" s="31"/>
      <c r="D72" s="31"/>
    </row>
    <row r="73" spans="1:4">
      <c r="A73" s="29" t="s">
        <v>112</v>
      </c>
      <c r="B73" s="31"/>
      <c r="C73" s="31"/>
      <c r="D73" s="31"/>
    </row>
    <row r="74" spans="1:4">
      <c r="A74" s="29" t="s">
        <v>113</v>
      </c>
      <c r="B74" s="30"/>
      <c r="C74" s="30"/>
      <c r="D74" s="30"/>
    </row>
    <row r="75" spans="1:4">
      <c r="A75" s="25"/>
    </row>
    <row r="76" spans="1:4">
      <c r="A76" s="25" t="s">
        <v>114</v>
      </c>
    </row>
    <row r="77" spans="1:4">
      <c r="A77" s="29" t="s">
        <v>115</v>
      </c>
      <c r="B77" s="30"/>
      <c r="C77" s="30"/>
      <c r="D77" s="30"/>
    </row>
    <row r="78" spans="1:4">
      <c r="A78" s="29" t="s">
        <v>116</v>
      </c>
      <c r="B78" s="30"/>
      <c r="C78" s="30"/>
      <c r="D78" s="30"/>
    </row>
    <row r="79" spans="1:4">
      <c r="A79" s="29" t="s">
        <v>117</v>
      </c>
      <c r="B79" s="30"/>
      <c r="C79" s="30"/>
      <c r="D79" s="30"/>
    </row>
    <row r="80" spans="1:4">
      <c r="A80" s="31"/>
      <c r="B80" s="31"/>
      <c r="C80" s="31"/>
      <c r="D80" s="31"/>
    </row>
  </sheetData>
  <mergeCells count="68">
    <mergeCell ref="A14:D14"/>
    <mergeCell ref="A1:D1"/>
    <mergeCell ref="A2:D2"/>
    <mergeCell ref="A3:D3"/>
    <mergeCell ref="A5:D5"/>
    <mergeCell ref="A6:D6"/>
    <mergeCell ref="A7:D7"/>
    <mergeCell ref="A8:D8"/>
    <mergeCell ref="A9:D9"/>
    <mergeCell ref="A10:D10"/>
    <mergeCell ref="A12:D12"/>
    <mergeCell ref="A13:D13"/>
    <mergeCell ref="A28:D28"/>
    <mergeCell ref="A15:D15"/>
    <mergeCell ref="A16:D16"/>
    <mergeCell ref="A17:D17"/>
    <mergeCell ref="A19:D19"/>
    <mergeCell ref="A20:D20"/>
    <mergeCell ref="A21:D21"/>
    <mergeCell ref="A22:D22"/>
    <mergeCell ref="A23:D23"/>
    <mergeCell ref="A24:D24"/>
    <mergeCell ref="A26:D26"/>
    <mergeCell ref="A27:D27"/>
    <mergeCell ref="A45:D45"/>
    <mergeCell ref="A29:D29"/>
    <mergeCell ref="A30:D30"/>
    <mergeCell ref="A31:D31"/>
    <mergeCell ref="A33:D33"/>
    <mergeCell ref="A34:D34"/>
    <mergeCell ref="A35:D35"/>
    <mergeCell ref="A36:D36"/>
    <mergeCell ref="A37:D37"/>
    <mergeCell ref="A38:D38"/>
    <mergeCell ref="A40:D40"/>
    <mergeCell ref="A41:D41"/>
    <mergeCell ref="A42:D42"/>
    <mergeCell ref="A43:D43"/>
    <mergeCell ref="A44:D44"/>
    <mergeCell ref="A59:D59"/>
    <mergeCell ref="A47:D47"/>
    <mergeCell ref="A48:D48"/>
    <mergeCell ref="A49:D49"/>
    <mergeCell ref="A50:D50"/>
    <mergeCell ref="A51:D51"/>
    <mergeCell ref="A52:D52"/>
    <mergeCell ref="A54:D54"/>
    <mergeCell ref="A55:D55"/>
    <mergeCell ref="A56:D56"/>
    <mergeCell ref="A57:D57"/>
    <mergeCell ref="A58:D58"/>
    <mergeCell ref="A73:D73"/>
    <mergeCell ref="A61:D61"/>
    <mergeCell ref="A62:D62"/>
    <mergeCell ref="A63:D63"/>
    <mergeCell ref="A64:D64"/>
    <mergeCell ref="A65:D65"/>
    <mergeCell ref="A66:D66"/>
    <mergeCell ref="A68:D68"/>
    <mergeCell ref="A69:D69"/>
    <mergeCell ref="A70:D70"/>
    <mergeCell ref="A71:D71"/>
    <mergeCell ref="A72:D72"/>
    <mergeCell ref="A74:D74"/>
    <mergeCell ref="A77:D77"/>
    <mergeCell ref="A78:D78"/>
    <mergeCell ref="A79:D79"/>
    <mergeCell ref="A80:D8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9"/>
  <sheetViews>
    <sheetView workbookViewId="0">
      <selection sqref="A1:B9"/>
    </sheetView>
  </sheetViews>
  <sheetFormatPr defaultRowHeight="14.25"/>
  <cols>
    <col min="1" max="1" width="26.75" customWidth="1"/>
    <col min="2" max="2" width="24.25" customWidth="1"/>
    <col min="3" max="3" width="22.5" customWidth="1"/>
  </cols>
  <sheetData>
    <row r="1" spans="1:2">
      <c r="A1" t="s">
        <v>43</v>
      </c>
      <c r="B1" t="s">
        <v>44</v>
      </c>
    </row>
    <row r="2" spans="1:2">
      <c r="A2" t="s">
        <v>45</v>
      </c>
      <c r="B2" s="18">
        <f>SUM(Calculator!D6:D9)</f>
        <v>471</v>
      </c>
    </row>
    <row r="3" spans="1:2">
      <c r="A3" t="s">
        <v>46</v>
      </c>
      <c r="B3" s="18">
        <f>IF(B2=0,"N/A",(Calculator!D6+Calculator!D9)/B2)</f>
        <v>0.77494692144373678</v>
      </c>
    </row>
    <row r="4" spans="1:2">
      <c r="A4" t="s">
        <v>47</v>
      </c>
      <c r="B4" s="18">
        <f>Calculator!D6+Calculator!D7</f>
        <v>356</v>
      </c>
    </row>
    <row r="5" spans="1:2">
      <c r="A5" t="s">
        <v>48</v>
      </c>
      <c r="B5" s="18">
        <f>Calculator!D8+Calculator!D9</f>
        <v>115</v>
      </c>
    </row>
    <row r="6" spans="1:2">
      <c r="A6" t="s">
        <v>49</v>
      </c>
      <c r="B6" s="18">
        <f>Calculator!D6+Calculator!D8</f>
        <v>450</v>
      </c>
    </row>
    <row r="7" spans="1:2">
      <c r="A7" t="s">
        <v>50</v>
      </c>
      <c r="B7" s="18">
        <f>Calculator!D7+Calculator!D9</f>
        <v>21</v>
      </c>
    </row>
    <row r="8" spans="1:2">
      <c r="A8" t="s">
        <v>51</v>
      </c>
      <c r="B8" s="18">
        <f>IF(B2=0,"N/A",((B4*B6)+(B5*B7))/(B2^2))</f>
        <v>0.7330250043950397</v>
      </c>
    </row>
    <row r="9" spans="1:2">
      <c r="A9" t="s">
        <v>52</v>
      </c>
      <c r="B9">
        <f>IF(OR(B3="N/A",B8="N/A",1-B8=0),"N/A",(B3-B8)/(1-B8))</f>
        <v>0.15702563063519415</v>
      </c>
    </row>
  </sheetData>
  <sheetProtection algorithmName="SHA-512" hashValue="F+rUB2rt/geNu6ThEH0FHhXblOqFBH+kB2jf08544EhhNNSoUhs9So9mkzHfmXNO+wGqTESd9uV/hAX3ajXoIQ==" saltValue="s0GIVLiEyIJBqtEDuJ5PeA==" spinCount="100000"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Calculator</vt:lpstr>
      <vt:lpstr>Method</vt:lpstr>
      <vt:lpstr>Calc_Backend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Meni Berger</cp:lastModifiedBy>
  <dcterms:created xsi:type="dcterms:W3CDTF">2026-10-18T09:34:56Z</dcterms:created>
  <dcterms:modified xsi:type="dcterms:W3CDTF">2026-10-18T09:35:47Z</dcterms:modified>
</cp:coreProperties>
</file>