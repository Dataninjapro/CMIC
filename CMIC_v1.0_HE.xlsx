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eni.SPSSIL\Google Drive (dataninjapro@gmail.com)\Data Ninja Drive\DN Training\הדרכה\ניתוחים מתקדמים\CMIC\"/>
    </mc:Choice>
  </mc:AlternateContent>
  <xr:revisionPtr revIDLastSave="0" documentId="13_ncr:1_{B24E390B-6C4E-4B33-A521-0103CDE42F44}" xr6:coauthVersionLast="47" xr6:coauthVersionMax="47" xr10:uidLastSave="{00000000-0000-0000-0000-000000000000}"/>
  <workbookProtection workbookAlgorithmName="SHA-512" workbookHashValue="fMV8zJdYPlFMeEOLF0+it8yrYZshLDeQUwCU5lMyF21bjZORrkraHhtZp60m7xkPEOwIWLXGfhW4PRcJV3tQIw==" workbookSaltValue="TFVlICD/j20cp7QPP5FHrA==" workbookSpinCount="100000" lockStructure="1"/>
  <bookViews>
    <workbookView xWindow="17265" yWindow="0" windowWidth="21240" windowHeight="15585" xr2:uid="{0246FFAA-AF01-445C-8D5D-1C5129BAE72E}"/>
  </bookViews>
  <sheets>
    <sheet name="Calculator" sheetId="2" r:id="rId1"/>
    <sheet name="Method" sheetId="3" r:id="rId2"/>
    <sheet name="Calc_Backend" sheetId="4" state="hidden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7" i="4" l="1"/>
  <c r="B6" i="4"/>
  <c r="B5" i="4"/>
  <c r="B4" i="4"/>
  <c r="B2" i="4"/>
  <c r="D26" i="2"/>
  <c r="E26" i="2" s="1"/>
  <c r="D25" i="2"/>
  <c r="E25" i="2" s="1"/>
  <c r="D23" i="2"/>
  <c r="E23" i="2" s="1"/>
  <c r="D24" i="2"/>
  <c r="E24" i="2" s="1"/>
  <c r="D22" i="2"/>
  <c r="E22" i="2" s="1"/>
  <c r="D21" i="2"/>
  <c r="E21" i="2" s="1"/>
  <c r="D20" i="2"/>
  <c r="E20" i="2" s="1"/>
  <c r="D19" i="2"/>
  <c r="E19" i="2" s="1"/>
  <c r="D18" i="2"/>
  <c r="E18" i="2" s="1"/>
  <c r="B8" i="4" l="1"/>
  <c r="B3" i="4"/>
  <c r="B9" i="4" l="1"/>
  <c r="D27" i="2" s="1"/>
  <c r="E27" i="2" s="1"/>
</calcChain>
</file>

<file path=xl/sharedStrings.xml><?xml version="1.0" encoding="utf-8"?>
<sst xmlns="http://schemas.openxmlformats.org/spreadsheetml/2006/main" count="124" uniqueCount="120">
  <si>
    <t>TN</t>
  </si>
  <si>
    <t>FP</t>
  </si>
  <si>
    <t>FN</t>
  </si>
  <si>
    <t>TP</t>
  </si>
  <si>
    <t>True Negative (TN):</t>
  </si>
  <si>
    <t>False Positive (FP):</t>
  </si>
  <si>
    <t>False Negative (FN):</t>
  </si>
  <si>
    <t>True Positive (TP):</t>
  </si>
  <si>
    <t>Observed \ Predicted</t>
  </si>
  <si>
    <t>Negative</t>
  </si>
  <si>
    <t>Positive</t>
  </si>
  <si>
    <t>Metric</t>
  </si>
  <si>
    <t>Formula</t>
  </si>
  <si>
    <t>Value</t>
  </si>
  <si>
    <t>Sensitivity</t>
  </si>
  <si>
    <t>TP / (TP+FN)</t>
  </si>
  <si>
    <t>Specificity</t>
  </si>
  <si>
    <t>TN / (TN+FP)</t>
  </si>
  <si>
    <t>Precision (PPV)</t>
  </si>
  <si>
    <t>TP / (TP+FP)</t>
  </si>
  <si>
    <t>NPV</t>
  </si>
  <si>
    <t>TN / (TN+FN)</t>
  </si>
  <si>
    <t>Accuracy</t>
  </si>
  <si>
    <t>(TP+TN) / Total</t>
  </si>
  <si>
    <t>FPR</t>
  </si>
  <si>
    <t>FP / (FP+TN)</t>
  </si>
  <si>
    <t>FNR</t>
  </si>
  <si>
    <t>FN / (FN+TP)</t>
  </si>
  <si>
    <t>(Sensitivity+Specificity)/2</t>
  </si>
  <si>
    <t>F1 Score</t>
  </si>
  <si>
    <t>2TP / (2TP+FP+FN)</t>
  </si>
  <si>
    <t>Cohen’s Kappa</t>
  </si>
  <si>
    <t>Status</t>
  </si>
  <si>
    <t>Agreement corrected for chance</t>
  </si>
  <si>
    <t>Bal. Accuracy</t>
  </si>
  <si>
    <r>
      <t xml:space="preserve">     Confusion Matrix Interactive Calculator   </t>
    </r>
    <r>
      <rPr>
        <sz val="10"/>
        <color theme="1"/>
        <rFont val="Arial"/>
        <family val="2"/>
        <scheme val="minor"/>
      </rPr>
      <t>v. 1.0</t>
    </r>
  </si>
  <si>
    <t>User Inputs:</t>
  </si>
  <si>
    <t>Total N</t>
  </si>
  <si>
    <t>Observed agreement (Po)</t>
  </si>
  <si>
    <t>Row total negative</t>
  </si>
  <si>
    <t>Row total positive</t>
  </si>
  <si>
    <t>Column total negative</t>
  </si>
  <si>
    <t>Column total positive</t>
  </si>
  <si>
    <t>Expected agreement (Pe)</t>
  </si>
  <si>
    <t>Kappa</t>
  </si>
  <si>
    <t>Kappa labels</t>
  </si>
  <si>
    <t>Kappa Values and Formulas</t>
  </si>
  <si>
    <t>Dataninjapro@gmail.com</t>
  </si>
  <si>
    <t xml:space="preserve"> 0522 834 241</t>
  </si>
  <si>
    <t>Method and Design by Meni Berger Data Ninja ©</t>
  </si>
  <si>
    <t>Protected template | Editable input cells only</t>
  </si>
  <si>
    <t>מדריך לפירוש מדדי המטריצה</t>
  </si>
  <si>
    <t>חזרה למחשבון</t>
  </si>
  <si>
    <t>Sensitivity (רגישות)</t>
  </si>
  <si>
    <t>רגישות מודדת את שיעור המקרים החיוביים האמיתיים שהמודל הצליח לזהות נכון מתוך כלל המקרים שהיו חיוביים בפועל.</t>
  </si>
  <si>
    <t>ערך גבוה של רגישות מעיד שהמודל טוב בזיהוי קטגוריות המטרה (1) ולכן, מפספס פחות מקרים חיוביים אמיתיים.</t>
  </si>
  <si>
    <t>ערך נמוך של רגישות מעיד שהמודל מחמיץ חלק ניכר מן המקרים החיוביים, כלומר שיעור ה־False Negatives שלו גבוה יחסית.</t>
  </si>
  <si>
    <t>במצבים שבהם חשוב במיוחד לא לפספס מקרה חיובי, רגישות היא מדד מרכזי במיוחד.</t>
  </si>
  <si>
    <t>בגיליון זה תמצאו פירוש לביצועים של מדדי מטריצת הסיווג</t>
  </si>
  <si>
    <t>Specificity (סגוליות)</t>
  </si>
  <si>
    <t>סגוליות מודדת את שיעור המקרים השליליים האמיתיים שהמודל הצליח לזהות נכון מתוך כלל המקרים שהיו שליליים בפועל  (0) .</t>
  </si>
  <si>
    <t>ערך גבוה של סגוליות מעיד שהמודל טוב בזיהוי מקרים שליליים, ולכן מייצר פחות תוצאות חיוביות שגויות.</t>
  </si>
  <si>
    <t>ערך נמוך של סגוליות מעיד שהמודל נוטה לסמן בטעות מקרים שליליים כמקרים חיוביים, כלומר שיעור ה־False Positives שלו גבוה יחסית.</t>
  </si>
  <si>
    <t>במצבים שבהם חשוב במיוחד להימנע מאזעקות שווא או מאבחון יתר, סגוליות היא מדד חשוב במיוחד.</t>
  </si>
  <si>
    <t>Precision (PPV)- דיוק חיובי</t>
  </si>
  <si>
    <t>TP / (TP + FP)</t>
  </si>
  <si>
    <t>דיוק חיובי מודד את שיעור המקרים שסווגו כחיוביים ואכן היו חיוביים בפועל, מתוך כלל המקרים שהמודל סימן כחיוביים.</t>
  </si>
  <si>
    <t>ערך גבוה של דיוק חיובי מעיד שכאשר המודל מסמן מקרה כחיובי, יש סבירות גבוהה שהסיווג אכן נכון.</t>
  </si>
  <si>
    <t>ערך נמוך של דיוק חיובי מעיד שחלק לא מבוטל מן התחזיות החיוביות של המודל הן למעשה חיוביות שגויות.</t>
  </si>
  <si>
    <t>מדד זה חשוב במיוחד כאשר רוצים לדעת עד כמה ניתן לסמוך על תוצאה חיובית שהמודל הפיק בפועל.</t>
  </si>
  <si>
    <t>NPV - ערך ניבוי שלילי</t>
  </si>
  <si>
    <t>TN / (TN + FN)</t>
  </si>
  <si>
    <t>ערך ניבוי שלילי מודד את שיעור המקרים שסווגו כשליליים ואכן היו שליליים בפועל, מתוך כלל המקרים שהמודל סימן כשליליים.</t>
  </si>
  <si>
    <t>ערך גבוה של NPV מעיד שכאשר המודל מסמן מקרה כשלילי, יש סבירות גבוהה שהסיווג אכן נכון.</t>
  </si>
  <si>
    <t>ערך נמוך של NPV מעיד שחלק מן התחזיות השליליות של המודל הן למעשה שליליות שגויות, כלומר מקרים חיוביים שפוספסו.</t>
  </si>
  <si>
    <t>מדד זה חשוב במיוחד כאשר רוצים להעריך עד כמה ניתן לסמוך על תוצאה שלילית שהמודל הפיק.</t>
  </si>
  <si>
    <t>Accuracy - דיוק כללי</t>
  </si>
  <si>
    <t>(TP + TN) / (TP + TN + FP + FN)</t>
  </si>
  <si>
    <t>הדיוק הכללי מודד את שיעור הסיווגים הנכונים של המודל מתוך כלל המקרים שנבחנו.</t>
  </si>
  <si>
    <t>ערך גבוה של Accuracy מעיד שהמודל מסווג נכון חלק גדול מן המקרים, הן החיוביים והן השליליים.</t>
  </si>
  <si>
    <t>עם זאת, במדגמים לא מאוזנים הדיוק הכללי עלול להיראות גבוה גם כאשר ביצועי המודל באחת הקטגוריות חלשים יחסית.</t>
  </si>
  <si>
    <t>לכן מומלץ לפרש את Accuracy יחד עם מדדים נוספים כמו רגישות, סגוליות, Precision ו־Balanced Accuracy.</t>
  </si>
  <si>
    <t xml:space="preserve"> שיעור החיוביים השגויים - FPR</t>
  </si>
  <si>
    <t>FP / (FP + TN)</t>
  </si>
  <si>
    <t>שיעור החיוביים השגויים מודד את חלקם של המקרים השליליים שבטעות סווגו כחיוביים מתוך כלל המקרים שהיו שליליים בפועל.</t>
  </si>
  <si>
    <t>ערך נמוך של FPR מעיד שהמודל מייצר מעט אזעקות שווא, ולכן טוב יותר בהימנעות מסיווג חיובי שגוי.</t>
  </si>
  <si>
    <t>ערך גבוה של FPR מעיד שהמודל נוטה לסמן מקרים שליליים כמקרים חיוביים, כלומר שיעור הטעויות מסוג False Positive גבוה יחסית.</t>
  </si>
  <si>
    <t>מדד זה חשוב במיוחד כאשר המחיר של התראה שגויה, אבחון יתר או התערבות מיותרת הוא משמעותי.</t>
  </si>
  <si>
    <t>שיעור השליליים השגויים- FNR</t>
  </si>
  <si>
    <t>FN / (FN + TP)</t>
  </si>
  <si>
    <t>שיעור השליליים השגויים מודד את חלקם של המקרים החיוביים שבטעות סווגו כשליליים מתוך כלל המקרים שהיו חיוביים בפועל.</t>
  </si>
  <si>
    <t>ערך נמוך של FNR מעיד שהמודל מפספס מעט מקרים חיוביים, ולכן טוב יותר בזיהוי מקרי היעד.</t>
  </si>
  <si>
    <t>ערך גבוה של FNR מעיד שהמודל מחמיץ חלק גדול יותר מן המקרים החיוביים, כלומר שיעור הטעויות מסוג False Negative גבוה יחסית.</t>
  </si>
  <si>
    <t>מדד זה חשוב במיוחד כאשר המחיר של פספוס מקרה חיובי הוא משמעותי מבחינה מקצועית, קלינית או תפעולית.</t>
  </si>
  <si>
    <t>(Sensitivity + Specificity) / 2</t>
  </si>
  <si>
    <t>דיוק מאוזן משלב בין הרגישות לבין הסגוליות, ומציג את רמת הביצוע הממוצעת של המודל בזיהוי נכון של מקרים חיוביים ושליליים ביחד.</t>
  </si>
  <si>
    <t>ערך גבוה של Balanced Accuracy מעיד שהמודל שומר על ביצועים טובים יחסית בשתי הקטגוריות, ולא רק באחת מהן.</t>
  </si>
  <si>
    <t>מדד זה שימושי במיוחד כאשר מספר המקרים החיוביים והשליליים אינו מאוזן, משום שהוא מפחית את ההטיה שעלולה להיווצר בשימוש ב־Accuracy רגיל בלבד.</t>
  </si>
  <si>
    <t>כאשר קיים פער גדול בין רגישות לסגוליות, ה־Balanced Accuracy מספק תמונה מאוזנת יותר של איכות הסיווג הכוללת.</t>
  </si>
  <si>
    <t>Balanced Accuracy - דיוק מאוזן</t>
  </si>
  <si>
    <t>2TP / (2TP + FP + FN)</t>
  </si>
  <si>
    <t xml:space="preserve">F1 Score -F1  ציון </t>
  </si>
  <si>
    <t xml:space="preserve">ציון F1 משלב בין Precision לבין Sensitivity למדד אחד, ומבטא את האיזון בין היכולת לזהות מקרים חיוביים לבין היכולת לצמצם חיוביים שגויים.
</t>
  </si>
  <si>
    <t>ערך גבוה של F1 Score מעיד שהמודל מצליח גם לזהות היטב מקרים חיוביים וגם לשמור על רמת דיוק חיובי טובה.</t>
  </si>
  <si>
    <t>ערך נמוך של F1 Score מעיד לרוב על פגיעה באחד משני המרכיבים או בשניהם: או שהמודל מפספס מקרים חיוביים, או שהוא מייצר יותר מדי תחזיות חיוביות שגויות.</t>
  </si>
  <si>
    <t>מדד זה שימושי במיוחד כאשר יש עניין ממוקד בביצועי המחלקה החיובית, ובפרט כאשר הנתונים אינם מאוזנים.</t>
  </si>
  <si>
    <t>Cohen’s Kappa - מקדם קאפה</t>
  </si>
  <si>
    <t>(Po − Pe) / (1 − Pe)</t>
  </si>
  <si>
    <t>מקדם קאפה מודד את רמת ההסכמה בין הסיווגים של המודל לבין הערכים האמיתיים, לאחר תיקון להסכמה שהייתה יכולה להיווצר באקראי בלבד.</t>
  </si>
  <si>
    <t>ערך גבוה של Kappa מעיד שההסכמה בין המודל לבין המציאות גבוהה מעבר למה שניתן היה לצפות במקרה, ולכן הסיווג נחשב עקבי ומשכנע יותר.</t>
  </si>
  <si>
    <t>ערך נמוך של Kappa מעיד שחלק מן ההסכמה הנצפית עשוי לנבוע מהתפלגות הנתונים או ממקריות, ולאו דווקא מביצוע אמיתי וחזק של המודל.</t>
  </si>
  <si>
    <t>מדד זה שימושי במיוחד כאשר רוצים להעריך את איכות הסיווג מעבר לדיוק הכללי בלבד, ובפרט כאשר קיימת הטיה בהתפלגות בין הקטגוריות.</t>
  </si>
  <si>
    <t>נהוג לפרש את קאפה בקירוב כך: ערכים נמוכים מ־0.20 מעידים על הסכמה חלשה, סביב 0.40-0.60 על הסכמה בינונית, ומעל 0.60 על הסכמה טובה עד גבוהה.</t>
  </si>
  <si>
    <t>הערות!</t>
  </si>
  <si>
    <t>* המדדים במחשבון מיועדים לתמיכה בפרשנות, לא כתחליף לשיקול דעת מקצועי.</t>
  </si>
  <si>
    <t>* במדגמים לא מאוזנים חשוב במיוחד לבחון כמה מדדים יחד</t>
  </si>
  <si>
    <t>* אין לפרש מדד יחיד במנותק מהקשר הנתונים.</t>
  </si>
  <si>
    <t>כלי זה נועד לתמוך בפרשנות מדדי הסיווג. מומלץ לבחון את המדדים יחד ובהקשר למבנה הנתונים, לאיזון המחלקות ולמטרת המודל.</t>
  </si>
  <si>
    <t xml:space="preserve"> </t>
  </si>
  <si>
    <t xml:space="preserve">Tel. 0522834241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</si>
</sst>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18">
    <font>
      <sz val="11"/>
      <color theme="1"/>
      <name val="Arial"/>
      <family val="2"/>
      <scheme val="minor"/>
    </font>
    <font>
      <sz val="14"/>
      <color theme="1"/>
      <name val="Arial"/>
      <family val="2"/>
      <scheme val="minor"/>
    </font>
    <font>
      <b/>
      <sz val="14"/>
      <color theme="1"/>
      <name val="Arial"/>
      <family val="2"/>
      <scheme val="minor"/>
    </font>
    <font>
      <u/>
      <sz val="11"/>
      <color theme="10"/>
      <name val="Arial"/>
      <family val="2"/>
      <scheme val="minor"/>
    </font>
    <font>
      <sz val="16"/>
      <color theme="1"/>
      <name val="Arial"/>
      <family val="2"/>
      <scheme val="minor"/>
    </font>
    <font>
      <sz val="26"/>
      <color theme="1"/>
      <name val="Arial"/>
      <family val="2"/>
      <scheme val="minor"/>
    </font>
    <font>
      <sz val="12"/>
      <color theme="1"/>
      <name val="Arial"/>
      <family val="2"/>
      <scheme val="minor"/>
    </font>
    <font>
      <b/>
      <sz val="12"/>
      <color theme="1"/>
      <name val="Arial"/>
      <family val="2"/>
      <scheme val="minor"/>
    </font>
    <font>
      <b/>
      <sz val="16"/>
      <color theme="1"/>
      <name val="Arial"/>
      <family val="2"/>
      <scheme val="minor"/>
    </font>
    <font>
      <sz val="14"/>
      <color rgb="FFC00000"/>
      <name val="Arial"/>
      <family val="2"/>
      <scheme val="minor"/>
    </font>
    <font>
      <sz val="14"/>
      <color theme="6" tint="-0.249977111117893"/>
      <name val="Arial"/>
      <family val="2"/>
      <scheme val="minor"/>
    </font>
    <font>
      <sz val="10"/>
      <color theme="1"/>
      <name val="Arial"/>
      <family val="2"/>
      <scheme val="minor"/>
    </font>
    <font>
      <sz val="10"/>
      <color theme="1"/>
      <name val="Arial Unicode MS"/>
    </font>
    <font>
      <sz val="8"/>
      <color theme="1"/>
      <name val="Arial"/>
      <family val="2"/>
      <scheme val="minor"/>
    </font>
    <font>
      <b/>
      <u/>
      <sz val="14"/>
      <color theme="1"/>
      <name val="Arial"/>
      <family val="2"/>
      <scheme val="minor"/>
    </font>
    <font>
      <i/>
      <sz val="11"/>
      <color theme="1"/>
      <name val="Arial"/>
      <family val="2"/>
      <scheme val="minor"/>
    </font>
    <font>
      <u/>
      <sz val="12"/>
      <color theme="10"/>
      <name val="Arial"/>
      <family val="2"/>
      <scheme val="minor"/>
    </font>
    <font>
      <b/>
      <i/>
      <sz val="11"/>
      <color theme="1"/>
      <name val="Arial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rgb="FFFBC59D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3" tint="0.89999084444715716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37">
    <xf numFmtId="0" fontId="0" fillId="0" borderId="0" xfId="0"/>
    <xf numFmtId="0" fontId="0" fillId="0" borderId="0" xfId="0" applyAlignment="1">
      <alignment horizontal="center"/>
    </xf>
    <xf numFmtId="0" fontId="3" fillId="0" borderId="0" xfId="1" applyAlignment="1">
      <alignment horizontal="center"/>
    </xf>
    <xf numFmtId="0" fontId="7" fillId="0" borderId="0" xfId="0" applyFont="1" applyAlignment="1">
      <alignment horizontal="center" vertical="center" wrapText="1"/>
    </xf>
    <xf numFmtId="0" fontId="0" fillId="3" borderId="0" xfId="0" applyFill="1" applyAlignment="1">
      <alignment horizontal="center"/>
    </xf>
    <xf numFmtId="0" fontId="0" fillId="4" borderId="0" xfId="0" applyFill="1" applyAlignment="1">
      <alignment horizontal="center"/>
    </xf>
    <xf numFmtId="0" fontId="8" fillId="5" borderId="0" xfId="0" applyFont="1" applyFill="1" applyAlignment="1">
      <alignment horizontal="center" vertical="center" wrapText="1"/>
    </xf>
    <xf numFmtId="0" fontId="8" fillId="5" borderId="0" xfId="0" applyFont="1" applyFill="1" applyAlignment="1">
      <alignment horizontal="right" vertical="center" wrapText="1"/>
    </xf>
    <xf numFmtId="0" fontId="4" fillId="5" borderId="0" xfId="0" applyFont="1" applyFill="1" applyAlignment="1">
      <alignment vertical="center" wrapText="1"/>
    </xf>
    <xf numFmtId="0" fontId="8" fillId="6" borderId="0" xfId="0" applyFont="1" applyFill="1" applyAlignment="1">
      <alignment horizontal="right" vertical="center" wrapText="1"/>
    </xf>
    <xf numFmtId="0" fontId="4" fillId="6" borderId="0" xfId="0" applyFont="1" applyFill="1" applyAlignment="1">
      <alignment vertical="center" wrapText="1"/>
    </xf>
    <xf numFmtId="0" fontId="6" fillId="0" borderId="0" xfId="0" applyFont="1" applyAlignment="1">
      <alignment horizontal="center" vertical="center" wrapText="1"/>
    </xf>
    <xf numFmtId="0" fontId="6" fillId="5" borderId="0" xfId="0" applyFont="1" applyFill="1" applyAlignment="1">
      <alignment horizontal="center" vertical="center" wrapText="1"/>
    </xf>
    <xf numFmtId="0" fontId="9" fillId="0" borderId="0" xfId="0" applyFont="1" applyAlignment="1">
      <alignment horizontal="left" vertical="center"/>
    </xf>
    <xf numFmtId="0" fontId="10" fillId="0" borderId="0" xfId="0" applyFont="1" applyAlignment="1">
      <alignment horizontal="left" vertical="center"/>
    </xf>
    <xf numFmtId="164" fontId="6" fillId="5" borderId="0" xfId="0" applyNumberFormat="1" applyFont="1" applyFill="1" applyAlignment="1">
      <alignment horizontal="center" vertical="center" wrapText="1"/>
    </xf>
    <xf numFmtId="10" fontId="6" fillId="0" borderId="0" xfId="0" applyNumberFormat="1" applyFont="1" applyAlignment="1">
      <alignment horizontal="center" vertical="center" wrapText="1"/>
    </xf>
    <xf numFmtId="10" fontId="6" fillId="5" borderId="0" xfId="0" applyNumberFormat="1" applyFont="1" applyFill="1" applyAlignment="1">
      <alignment horizontal="center" vertical="center" wrapText="1"/>
    </xf>
    <xf numFmtId="0" fontId="12" fillId="0" borderId="0" xfId="0" applyFont="1"/>
    <xf numFmtId="0" fontId="3" fillId="0" borderId="0" xfId="1" applyAlignment="1">
      <alignment horizontal="left"/>
    </xf>
    <xf numFmtId="0" fontId="13" fillId="0" borderId="0" xfId="0" applyFont="1"/>
    <xf numFmtId="0" fontId="3" fillId="0" borderId="0" xfId="1" applyAlignment="1">
      <alignment vertical="center" wrapText="1"/>
    </xf>
    <xf numFmtId="0" fontId="3" fillId="5" borderId="0" xfId="1" applyFill="1" applyAlignment="1">
      <alignment vertical="center" wrapText="1"/>
    </xf>
    <xf numFmtId="0" fontId="0" fillId="8" borderId="0" xfId="0" applyFill="1" applyAlignment="1" applyProtection="1">
      <alignment horizontal="center" vertical="center"/>
      <protection locked="0"/>
    </xf>
    <xf numFmtId="49" fontId="3" fillId="0" borderId="0" xfId="1" applyNumberFormat="1" applyAlignment="1">
      <alignment horizontal="center"/>
    </xf>
    <xf numFmtId="0" fontId="5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1" fillId="7" borderId="0" xfId="0" applyFont="1" applyFill="1" applyAlignment="1">
      <alignment horizontal="center" vertical="center"/>
    </xf>
    <xf numFmtId="0" fontId="17" fillId="0" borderId="0" xfId="0" applyFont="1" applyAlignment="1">
      <alignment horizontal="center"/>
    </xf>
    <xf numFmtId="0" fontId="0" fillId="0" borderId="0" xfId="0" applyAlignment="1">
      <alignment horizontal="right"/>
    </xf>
    <xf numFmtId="0" fontId="0" fillId="0" borderId="0" xfId="0" applyAlignment="1">
      <alignment horizontal="right" readingOrder="2"/>
    </xf>
    <xf numFmtId="0" fontId="0" fillId="0" borderId="0" xfId="0"/>
    <xf numFmtId="0" fontId="2" fillId="2" borderId="0" xfId="0" applyFont="1" applyFill="1" applyAlignment="1">
      <alignment horizontal="center"/>
    </xf>
    <xf numFmtId="0" fontId="15" fillId="5" borderId="0" xfId="0" applyFont="1" applyFill="1" applyAlignment="1">
      <alignment horizontal="center"/>
    </xf>
    <xf numFmtId="0" fontId="0" fillId="0" borderId="0" xfId="0" applyAlignment="1">
      <alignment wrapText="1"/>
    </xf>
    <xf numFmtId="0" fontId="14" fillId="9" borderId="0" xfId="0" applyFont="1" applyFill="1" applyAlignment="1">
      <alignment horizontal="center"/>
    </xf>
    <xf numFmtId="0" fontId="16" fillId="0" borderId="0" xfId="1" applyFont="1" applyAlignment="1">
      <alignment horizontal="center"/>
    </xf>
  </cellXfs>
  <cellStyles count="2">
    <cellStyle name="Hyperlink" xfId="1" builtinId="8"/>
    <cellStyle name="Normal" xfId="0" builtinId="0"/>
  </cellStyles>
  <dxfs count="5">
    <dxf>
      <font>
        <b/>
        <i val="0"/>
      </font>
      <fill>
        <patternFill>
          <bgColor rgb="FF00B050"/>
        </patternFill>
      </fill>
    </dxf>
    <dxf>
      <font>
        <b/>
        <i val="0"/>
      </font>
      <fill>
        <patternFill>
          <bgColor theme="9" tint="0.59996337778862885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theme="0" tint="-0.24994659260841701"/>
        </patternFill>
      </fill>
    </dxf>
  </dxfs>
  <tableStyles count="0" defaultTableStyle="TableStyleMedium2" defaultPivotStyle="PivotStyleLight16"/>
  <colors>
    <mruColors>
      <color rgb="FFFBC59D"/>
      <color rgb="FFFFA0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1577340</xdr:colOff>
      <xdr:row>1</xdr:row>
      <xdr:rowOff>104777</xdr:rowOff>
    </xdr:from>
    <xdr:to>
      <xdr:col>3</xdr:col>
      <xdr:colOff>2950033</xdr:colOff>
      <xdr:row>3</xdr:row>
      <xdr:rowOff>131446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B2AD111E-6911-0F9E-44EB-F8247FABBB1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968365" y="514352"/>
          <a:ext cx="1372693" cy="369569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hyperlink" Target="mailto:Dataninjapro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E2FE7D-B380-4C4C-8DC3-04D6D77D78C9}">
  <dimension ref="A1:E31"/>
  <sheetViews>
    <sheetView showGridLines="0" rightToLeft="1" tabSelected="1" zoomScale="85" zoomScaleNormal="85" workbookViewId="0">
      <selection activeCell="E1" sqref="E1"/>
    </sheetView>
  </sheetViews>
  <sheetFormatPr defaultRowHeight="14.25"/>
  <cols>
    <col min="2" max="2" width="16.75" customWidth="1"/>
    <col min="3" max="3" width="32.125" customWidth="1"/>
    <col min="4" max="4" width="39.125" customWidth="1"/>
    <col min="5" max="5" width="10.875" customWidth="1"/>
  </cols>
  <sheetData>
    <row r="1" spans="1:4" ht="33">
      <c r="A1" s="25" t="s">
        <v>35</v>
      </c>
      <c r="B1" s="25"/>
      <c r="C1" s="25"/>
      <c r="D1" s="25"/>
    </row>
    <row r="2" spans="1:4">
      <c r="A2" s="26" t="s">
        <v>49</v>
      </c>
      <c r="B2" s="26"/>
      <c r="C2" s="26"/>
      <c r="D2" s="26"/>
    </row>
    <row r="3" spans="1:4">
      <c r="B3" s="24" t="s">
        <v>119</v>
      </c>
      <c r="C3" s="2" t="s">
        <v>47</v>
      </c>
      <c r="D3" s="19" t="s">
        <v>48</v>
      </c>
    </row>
    <row r="6" spans="1:4" ht="25.15" customHeight="1">
      <c r="B6" s="27" t="s">
        <v>36</v>
      </c>
      <c r="C6" s="13" t="s">
        <v>4</v>
      </c>
      <c r="D6" s="23">
        <v>333</v>
      </c>
    </row>
    <row r="7" spans="1:4" ht="25.15" customHeight="1">
      <c r="B7" s="27"/>
      <c r="C7" s="14" t="s">
        <v>5</v>
      </c>
      <c r="D7" s="23">
        <v>6</v>
      </c>
    </row>
    <row r="8" spans="1:4" ht="25.15" customHeight="1">
      <c r="B8" s="27"/>
      <c r="C8" s="13" t="s">
        <v>6</v>
      </c>
      <c r="D8" s="23">
        <v>100</v>
      </c>
    </row>
    <row r="9" spans="1:4" ht="25.15" customHeight="1">
      <c r="B9" s="27"/>
      <c r="C9" s="14" t="s">
        <v>7</v>
      </c>
      <c r="D9" s="23">
        <v>15</v>
      </c>
    </row>
    <row r="13" spans="1:4" ht="40.5">
      <c r="B13" s="6" t="s">
        <v>8</v>
      </c>
      <c r="C13" s="9" t="s">
        <v>9</v>
      </c>
      <c r="D13" s="7" t="s">
        <v>10</v>
      </c>
    </row>
    <row r="14" spans="1:4" ht="20.25">
      <c r="B14" s="10" t="s">
        <v>9</v>
      </c>
      <c r="C14" s="5" t="s">
        <v>0</v>
      </c>
      <c r="D14" s="4" t="s">
        <v>1</v>
      </c>
    </row>
    <row r="15" spans="1:4" ht="20.25">
      <c r="B15" s="8" t="s">
        <v>10</v>
      </c>
      <c r="C15" s="4" t="s">
        <v>2</v>
      </c>
      <c r="D15" s="5" t="s">
        <v>3</v>
      </c>
    </row>
    <row r="16" spans="1:4" ht="26.45" customHeight="1"/>
    <row r="17" spans="2:5" ht="15.75">
      <c r="B17" s="3" t="s">
        <v>11</v>
      </c>
      <c r="C17" s="3" t="s">
        <v>12</v>
      </c>
      <c r="D17" s="3" t="s">
        <v>13</v>
      </c>
      <c r="E17" s="3" t="s">
        <v>32</v>
      </c>
    </row>
    <row r="18" spans="2:5" ht="16.899999999999999" customHeight="1">
      <c r="B18" s="21" t="s">
        <v>14</v>
      </c>
      <c r="C18" s="11" t="s">
        <v>15</v>
      </c>
      <c r="D18" s="16">
        <f>IF((D9+D8)=0,"N/A",D9/(D9+D8))</f>
        <v>0.13043478260869565</v>
      </c>
      <c r="E18" s="1" t="str">
        <f>IF(D18="N/A","Undefined",IF(D18&gt;=0.9,"Excellent",IF(D18&gt;=0.8,"Good",IF(D18&gt;=0.7,"Moderate","Low"))))</f>
        <v>Low</v>
      </c>
    </row>
    <row r="19" spans="2:5" ht="16.899999999999999" customHeight="1">
      <c r="B19" s="22" t="s">
        <v>16</v>
      </c>
      <c r="C19" s="12" t="s">
        <v>17</v>
      </c>
      <c r="D19" s="17">
        <f>IF((D6+D7)=0,"N/A",D6/(D6+D7))</f>
        <v>0.98230088495575218</v>
      </c>
      <c r="E19" s="1" t="str">
        <f>IF(D19="N/A","Undefined",IF(D19&gt;=0.9,"Excellent",IF(D19&gt;=0.8,"Good",IF(D19&gt;=0.7,"Moderate","Low"))))</f>
        <v>Excellent</v>
      </c>
    </row>
    <row r="20" spans="2:5" ht="16.899999999999999" customHeight="1">
      <c r="B20" s="21" t="s">
        <v>18</v>
      </c>
      <c r="C20" s="11" t="s">
        <v>19</v>
      </c>
      <c r="D20" s="16">
        <f>IF((D9+D7)=0,"N/A",D9/(D9+D7))</f>
        <v>0.7142857142857143</v>
      </c>
      <c r="E20" s="1" t="str">
        <f>IF(D20="N/A","Undefined",IF(D20&gt;=0.9,"Excellent",IF(D20&gt;=0.8,"Good",IF(D20&gt;=0.7,"Moderate","Low"))))</f>
        <v>Moderate</v>
      </c>
    </row>
    <row r="21" spans="2:5" ht="16.899999999999999" customHeight="1">
      <c r="B21" s="22" t="s">
        <v>20</v>
      </c>
      <c r="C21" s="12" t="s">
        <v>21</v>
      </c>
      <c r="D21" s="17">
        <f>IF((D6+D8)=0,"N/A",D6/(D6+D8))</f>
        <v>0.76905311778290997</v>
      </c>
      <c r="E21" s="1" t="str">
        <f>IF(D21="N/A","Undefined",IF(D21&gt;=0.9,"Excellent",IF(D21&gt;=0.8,"Good",IF(D21&gt;=0.7,"Moderate","Low"))))</f>
        <v>Moderate</v>
      </c>
    </row>
    <row r="22" spans="2:5" ht="16.899999999999999" customHeight="1">
      <c r="B22" s="21" t="s">
        <v>22</v>
      </c>
      <c r="C22" s="11" t="s">
        <v>23</v>
      </c>
      <c r="D22" s="16">
        <f>IF(SUM(D6:D9)=0,"N/A",(D9+D6)/SUM(D6:D9))</f>
        <v>0.76651982378854622</v>
      </c>
      <c r="E22" s="1" t="str">
        <f>IF(D22="N/A","Undefined",IF(D22&gt;=0.9,"Excellent",IF(D22&gt;=0.8,"Good",IF(D22&gt;=0.7,"Moderate","Low"))))</f>
        <v>Moderate</v>
      </c>
    </row>
    <row r="23" spans="2:5" ht="16.899999999999999" customHeight="1">
      <c r="B23" s="22" t="s">
        <v>24</v>
      </c>
      <c r="C23" s="12" t="s">
        <v>25</v>
      </c>
      <c r="D23" s="17">
        <f>IF((D7+D6)=0,"N/A",D7/(D7+D6))</f>
        <v>1.7699115044247787E-2</v>
      </c>
      <c r="E23" s="1" t="str">
        <f>IF(D23="N/A","Undefined",IF(D23&lt;=0.1,"Excellent",IF(D23&lt;=0.2,"Good",IF(D23&lt;=0.3,"Moderate","Low"))))</f>
        <v>Excellent</v>
      </c>
    </row>
    <row r="24" spans="2:5" ht="16.899999999999999" customHeight="1">
      <c r="B24" s="21" t="s">
        <v>26</v>
      </c>
      <c r="C24" s="11" t="s">
        <v>27</v>
      </c>
      <c r="D24" s="16">
        <f>IF((D8+D9)=0,"N/A",D8/(D8+D9))</f>
        <v>0.86956521739130432</v>
      </c>
      <c r="E24" s="1" t="str">
        <f>IF(D24="N/A","Undefined",IF(D24&lt;=0.1,"Excellent",IF(D24&lt;=0.2,"Good",IF(D24&lt;=0.3,"Moderate","Low"))))</f>
        <v>Low</v>
      </c>
    </row>
    <row r="25" spans="2:5" ht="16.899999999999999" customHeight="1">
      <c r="B25" s="22" t="s">
        <v>34</v>
      </c>
      <c r="C25" s="12" t="s">
        <v>28</v>
      </c>
      <c r="D25" s="17">
        <f>IF(OR((D9+D8)=0,(D6+D7)=0),"N/A",((D9/(D9+D8))+(D6/(D6+D7)))/2)</f>
        <v>0.55636783378222388</v>
      </c>
      <c r="E25" s="1" t="str">
        <f>IF(D25="N/A","Undefined",IF(D25&gt;=0.9,"Excellent",IF(D25&gt;=0.8,"Good",IF(D25&gt;=0.7,"Moderate","Low"))))</f>
        <v>Low</v>
      </c>
    </row>
    <row r="26" spans="2:5" ht="16.899999999999999" customHeight="1">
      <c r="B26" s="21" t="s">
        <v>29</v>
      </c>
      <c r="C26" s="11" t="s">
        <v>30</v>
      </c>
      <c r="D26" s="16">
        <f>IF((2*D9+D7+D8)=0,"N/A",(2*D9)/(2*D9+D7+D8))</f>
        <v>0.22058823529411764</v>
      </c>
      <c r="E26" s="1" t="str">
        <f>IF(D26="N/A","Undefined",IF(D26&gt;=0.9,"Excellent",IF(D26&gt;=0.8,"Good",IF(D26&gt;=0.7,"Moderate","Low"))))</f>
        <v>Low</v>
      </c>
    </row>
    <row r="27" spans="2:5" ht="16.899999999999999" customHeight="1">
      <c r="B27" s="22" t="s">
        <v>31</v>
      </c>
      <c r="C27" s="12" t="s">
        <v>33</v>
      </c>
      <c r="D27" s="15">
        <f>Calc_Backend!B9</f>
        <v>0.15444354640334515</v>
      </c>
      <c r="E27" s="1" t="str">
        <f>IF(D27="N/A","Undefined",IF(D27&gt;=0.6,"Excellent",IF(D27&gt;=0.4,"Good",IF(D27&gt;=0.2,"Moderate","Low"))))</f>
        <v>Low</v>
      </c>
    </row>
    <row r="28" spans="2:5">
      <c r="C28" s="20"/>
      <c r="D28" s="20" t="s">
        <v>50</v>
      </c>
    </row>
    <row r="30" spans="2:5">
      <c r="B30" s="28" t="s">
        <v>117</v>
      </c>
      <c r="C30" s="28"/>
      <c r="D30" s="28"/>
      <c r="E30" s="28"/>
    </row>
    <row r="31" spans="2:5">
      <c r="B31" t="s">
        <v>118</v>
      </c>
    </row>
  </sheetData>
  <mergeCells count="4">
    <mergeCell ref="A1:D1"/>
    <mergeCell ref="A2:D2"/>
    <mergeCell ref="B6:B9"/>
    <mergeCell ref="B30:E30"/>
  </mergeCells>
  <conditionalFormatting sqref="E18:E27">
    <cfRule type="expression" dxfId="4" priority="1">
      <formula>$E18="Undefined"</formula>
    </cfRule>
    <cfRule type="expression" dxfId="3" priority="2">
      <formula>$E18="Low"</formula>
    </cfRule>
    <cfRule type="expression" dxfId="2" priority="3">
      <formula>$E18="Moderate"</formula>
    </cfRule>
    <cfRule type="expression" dxfId="1" priority="4">
      <formula>$E18="Good"</formula>
    </cfRule>
    <cfRule type="expression" dxfId="0" priority="5">
      <formula>$E18="Excellent"</formula>
    </cfRule>
  </conditionalFormatting>
  <hyperlinks>
    <hyperlink ref="C3" r:id="rId1" xr:uid="{27170C21-0CDE-4D90-BA84-5B26C4573B55}"/>
    <hyperlink ref="B18" location="Method!A5" display="Sensitivity" xr:uid="{1DC049E7-327A-43C4-9C93-7A92B2808054}"/>
    <hyperlink ref="B19" location="Method!A5" display="Specificity" xr:uid="{9F2480ED-44E6-495B-8D98-D808B0AA1E05}"/>
    <hyperlink ref="B20" location="Method!A19" display="Precision (PPV)" xr:uid="{23024D0E-073C-4616-873D-F3DCE3D7A543}"/>
    <hyperlink ref="B21" location="Method!A26" display="NPV" xr:uid="{EFF1916B-36A2-4B15-83F9-4C196AA860B8}"/>
    <hyperlink ref="B22" location="Method!A33" display="Accuracy" xr:uid="{F01CE649-34BF-4C7C-8A00-77D4FF58BD9C}"/>
    <hyperlink ref="B23" location="Method!A40" display="FPR" xr:uid="{15467167-6362-4E8D-AA07-6606099FB903}"/>
    <hyperlink ref="B24" location="Method!A47" display="FNR" xr:uid="{409AB82A-BD1C-49C2-8AA2-8D68D4EBB24C}"/>
    <hyperlink ref="B25" location="Method!A54" display="Bal. Accuracy" xr:uid="{7DA39989-3F3B-4DBB-B83E-759F6C387927}"/>
    <hyperlink ref="B26" location="Calculator!A61" display="F1 Score" xr:uid="{6EB720E2-050C-49F9-81B7-4BB20F1E6007}"/>
    <hyperlink ref="B27" location="Method!A68" display="Cohen’s Kappa" xr:uid="{051C7122-5B1E-4BA9-9CEB-5890867D9DCF}"/>
  </hyperlinks>
  <pageMargins left="0.7" right="0.7" top="0.75" bottom="0.75" header="0.3" footer="0.3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AD68ED-34FF-4A94-ADD6-678F5785159D}">
  <dimension ref="A1:D80"/>
  <sheetViews>
    <sheetView rightToLeft="1" workbookViewId="0">
      <selection activeCell="A5" sqref="A5:D5"/>
    </sheetView>
  </sheetViews>
  <sheetFormatPr defaultRowHeight="14.25"/>
  <cols>
    <col min="1" max="1" width="22.875" customWidth="1"/>
    <col min="2" max="2" width="31.25" customWidth="1"/>
    <col min="3" max="3" width="27.875" customWidth="1"/>
    <col min="4" max="4" width="32" customWidth="1"/>
  </cols>
  <sheetData>
    <row r="1" spans="1:4" ht="18">
      <c r="A1" s="35" t="s">
        <v>51</v>
      </c>
      <c r="B1" s="35"/>
      <c r="C1" s="35"/>
      <c r="D1" s="35"/>
    </row>
    <row r="2" spans="1:4" ht="15">
      <c r="A2" s="36" t="s">
        <v>52</v>
      </c>
      <c r="B2" s="36"/>
      <c r="C2" s="36"/>
      <c r="D2" s="36"/>
    </row>
    <row r="3" spans="1:4">
      <c r="A3" s="26" t="s">
        <v>58</v>
      </c>
      <c r="B3" s="26"/>
      <c r="C3" s="26"/>
      <c r="D3" s="26"/>
    </row>
    <row r="5" spans="1:4" ht="18">
      <c r="A5" s="32" t="s">
        <v>53</v>
      </c>
      <c r="B5" s="32"/>
      <c r="C5" s="32"/>
      <c r="D5" s="32"/>
    </row>
    <row r="6" spans="1:4">
      <c r="A6" s="33" t="s">
        <v>15</v>
      </c>
      <c r="B6" s="33"/>
      <c r="C6" s="33"/>
      <c r="D6" s="33"/>
    </row>
    <row r="7" spans="1:4">
      <c r="A7" s="29" t="s">
        <v>54</v>
      </c>
      <c r="B7" s="29"/>
      <c r="C7" s="29"/>
      <c r="D7" s="29"/>
    </row>
    <row r="8" spans="1:4">
      <c r="A8" s="29" t="s">
        <v>55</v>
      </c>
      <c r="B8" s="29"/>
      <c r="C8" s="29"/>
      <c r="D8" s="29"/>
    </row>
    <row r="9" spans="1:4">
      <c r="A9" s="29" t="s">
        <v>56</v>
      </c>
      <c r="B9" s="29"/>
      <c r="C9" s="29"/>
      <c r="D9" s="29"/>
    </row>
    <row r="10" spans="1:4">
      <c r="A10" s="29" t="s">
        <v>57</v>
      </c>
      <c r="B10" s="29"/>
      <c r="C10" s="29"/>
      <c r="D10" s="29"/>
    </row>
    <row r="12" spans="1:4" ht="18">
      <c r="A12" s="32" t="s">
        <v>59</v>
      </c>
      <c r="B12" s="32"/>
      <c r="C12" s="32"/>
      <c r="D12" s="32"/>
    </row>
    <row r="13" spans="1:4">
      <c r="A13" s="33" t="s">
        <v>17</v>
      </c>
      <c r="B13" s="33"/>
      <c r="C13" s="33"/>
      <c r="D13" s="33"/>
    </row>
    <row r="14" spans="1:4">
      <c r="A14" s="29" t="s">
        <v>60</v>
      </c>
      <c r="B14" s="29"/>
      <c r="C14" s="29"/>
      <c r="D14" s="29"/>
    </row>
    <row r="15" spans="1:4">
      <c r="A15" s="31" t="s">
        <v>61</v>
      </c>
      <c r="B15" s="31"/>
      <c r="C15" s="31"/>
      <c r="D15" s="31"/>
    </row>
    <row r="16" spans="1:4">
      <c r="A16" s="31" t="s">
        <v>62</v>
      </c>
      <c r="B16" s="31"/>
      <c r="C16" s="31"/>
      <c r="D16" s="31"/>
    </row>
    <row r="17" spans="1:4">
      <c r="A17" s="31" t="s">
        <v>63</v>
      </c>
      <c r="B17" s="31"/>
      <c r="C17" s="31"/>
      <c r="D17" s="31"/>
    </row>
    <row r="19" spans="1:4" ht="18">
      <c r="A19" s="32" t="s">
        <v>64</v>
      </c>
      <c r="B19" s="32"/>
      <c r="C19" s="32"/>
      <c r="D19" s="32"/>
    </row>
    <row r="20" spans="1:4">
      <c r="A20" s="33" t="s">
        <v>65</v>
      </c>
      <c r="B20" s="33"/>
      <c r="C20" s="33"/>
      <c r="D20" s="33"/>
    </row>
    <row r="21" spans="1:4">
      <c r="A21" s="31" t="s">
        <v>66</v>
      </c>
      <c r="B21" s="31"/>
      <c r="C21" s="31"/>
      <c r="D21" s="31"/>
    </row>
    <row r="22" spans="1:4">
      <c r="A22" s="31" t="s">
        <v>67</v>
      </c>
      <c r="B22" s="31"/>
      <c r="C22" s="31"/>
      <c r="D22" s="31"/>
    </row>
    <row r="23" spans="1:4">
      <c r="A23" s="31" t="s">
        <v>68</v>
      </c>
      <c r="B23" s="31"/>
      <c r="C23" s="31"/>
      <c r="D23" s="31"/>
    </row>
    <row r="24" spans="1:4">
      <c r="A24" s="31" t="s">
        <v>69</v>
      </c>
      <c r="B24" s="31"/>
      <c r="C24" s="31"/>
      <c r="D24" s="31"/>
    </row>
    <row r="26" spans="1:4" ht="18">
      <c r="A26" s="32" t="s">
        <v>70</v>
      </c>
      <c r="B26" s="32"/>
      <c r="C26" s="32"/>
      <c r="D26" s="32"/>
    </row>
    <row r="27" spans="1:4">
      <c r="A27" s="33" t="s">
        <v>71</v>
      </c>
      <c r="B27" s="33"/>
      <c r="C27" s="33"/>
      <c r="D27" s="33"/>
    </row>
    <row r="28" spans="1:4">
      <c r="A28" s="31" t="s">
        <v>72</v>
      </c>
      <c r="B28" s="31"/>
      <c r="C28" s="31"/>
      <c r="D28" s="31"/>
    </row>
    <row r="29" spans="1:4">
      <c r="A29" s="31" t="s">
        <v>73</v>
      </c>
      <c r="B29" s="31"/>
      <c r="C29" s="31"/>
      <c r="D29" s="31"/>
    </row>
    <row r="30" spans="1:4">
      <c r="A30" s="31" t="s">
        <v>74</v>
      </c>
      <c r="B30" s="31"/>
      <c r="C30" s="31"/>
      <c r="D30" s="31"/>
    </row>
    <row r="31" spans="1:4">
      <c r="A31" s="31" t="s">
        <v>75</v>
      </c>
      <c r="B31" s="31"/>
      <c r="C31" s="31"/>
      <c r="D31" s="31"/>
    </row>
    <row r="33" spans="1:4" ht="18">
      <c r="A33" s="32" t="s">
        <v>76</v>
      </c>
      <c r="B33" s="32"/>
      <c r="C33" s="32"/>
      <c r="D33" s="32"/>
    </row>
    <row r="34" spans="1:4">
      <c r="A34" s="33" t="s">
        <v>77</v>
      </c>
      <c r="B34" s="33"/>
      <c r="C34" s="33"/>
      <c r="D34" s="33"/>
    </row>
    <row r="35" spans="1:4">
      <c r="A35" s="30" t="s">
        <v>78</v>
      </c>
      <c r="B35" s="30"/>
      <c r="C35" s="30"/>
      <c r="D35" s="30"/>
    </row>
    <row r="36" spans="1:4">
      <c r="A36" s="30" t="s">
        <v>79</v>
      </c>
      <c r="B36" s="30"/>
      <c r="C36" s="30"/>
      <c r="D36" s="30"/>
    </row>
    <row r="37" spans="1:4">
      <c r="A37" s="30" t="s">
        <v>80</v>
      </c>
      <c r="B37" s="30"/>
      <c r="C37" s="30"/>
      <c r="D37" s="30"/>
    </row>
    <row r="38" spans="1:4">
      <c r="A38" s="30" t="s">
        <v>81</v>
      </c>
      <c r="B38" s="30"/>
      <c r="C38" s="30"/>
      <c r="D38" s="30"/>
    </row>
    <row r="40" spans="1:4" ht="18">
      <c r="A40" s="32" t="s">
        <v>82</v>
      </c>
      <c r="B40" s="32"/>
      <c r="C40" s="32"/>
      <c r="D40" s="32"/>
    </row>
    <row r="41" spans="1:4">
      <c r="A41" s="33" t="s">
        <v>83</v>
      </c>
      <c r="B41" s="33"/>
      <c r="C41" s="33"/>
      <c r="D41" s="33"/>
    </row>
    <row r="42" spans="1:4">
      <c r="A42" s="31" t="s">
        <v>84</v>
      </c>
      <c r="B42" s="31"/>
      <c r="C42" s="31"/>
      <c r="D42" s="31"/>
    </row>
    <row r="43" spans="1:4">
      <c r="A43" s="31" t="s">
        <v>85</v>
      </c>
      <c r="B43" s="31"/>
      <c r="C43" s="31"/>
      <c r="D43" s="31"/>
    </row>
    <row r="44" spans="1:4">
      <c r="A44" s="31" t="s">
        <v>86</v>
      </c>
      <c r="B44" s="31"/>
      <c r="C44" s="31"/>
      <c r="D44" s="31"/>
    </row>
    <row r="45" spans="1:4">
      <c r="A45" s="31" t="s">
        <v>87</v>
      </c>
      <c r="B45" s="31"/>
      <c r="C45" s="31"/>
      <c r="D45" s="31"/>
    </row>
    <row r="47" spans="1:4" ht="18">
      <c r="A47" s="32" t="s">
        <v>88</v>
      </c>
      <c r="B47" s="32"/>
      <c r="C47" s="32"/>
      <c r="D47" s="32"/>
    </row>
    <row r="48" spans="1:4">
      <c r="A48" s="33" t="s">
        <v>89</v>
      </c>
      <c r="B48" s="33"/>
      <c r="C48" s="33"/>
      <c r="D48" s="33"/>
    </row>
    <row r="49" spans="1:4">
      <c r="A49" s="31" t="s">
        <v>90</v>
      </c>
      <c r="B49" s="31"/>
      <c r="C49" s="31"/>
      <c r="D49" s="31"/>
    </row>
    <row r="50" spans="1:4">
      <c r="A50" s="31" t="s">
        <v>91</v>
      </c>
      <c r="B50" s="31"/>
      <c r="C50" s="31"/>
      <c r="D50" s="31"/>
    </row>
    <row r="51" spans="1:4">
      <c r="A51" s="31" t="s">
        <v>92</v>
      </c>
      <c r="B51" s="31"/>
      <c r="C51" s="31"/>
      <c r="D51" s="31"/>
    </row>
    <row r="52" spans="1:4">
      <c r="A52" s="31" t="s">
        <v>93</v>
      </c>
      <c r="B52" s="31"/>
      <c r="C52" s="31"/>
      <c r="D52" s="31"/>
    </row>
    <row r="54" spans="1:4" ht="18">
      <c r="A54" s="32" t="s">
        <v>99</v>
      </c>
      <c r="B54" s="32"/>
      <c r="C54" s="32"/>
      <c r="D54" s="32"/>
    </row>
    <row r="55" spans="1:4">
      <c r="A55" s="33" t="s">
        <v>94</v>
      </c>
      <c r="B55" s="33"/>
      <c r="C55" s="33"/>
      <c r="D55" s="33"/>
    </row>
    <row r="56" spans="1:4">
      <c r="A56" s="31" t="s">
        <v>95</v>
      </c>
      <c r="B56" s="31"/>
      <c r="C56" s="31"/>
      <c r="D56" s="31"/>
    </row>
    <row r="57" spans="1:4">
      <c r="A57" s="31" t="s">
        <v>96</v>
      </c>
      <c r="B57" s="31"/>
      <c r="C57" s="31"/>
      <c r="D57" s="31"/>
    </row>
    <row r="58" spans="1:4">
      <c r="A58" s="31" t="s">
        <v>97</v>
      </c>
      <c r="B58" s="31"/>
      <c r="C58" s="31"/>
      <c r="D58" s="31"/>
    </row>
    <row r="59" spans="1:4">
      <c r="A59" s="31" t="s">
        <v>98</v>
      </c>
      <c r="B59" s="31"/>
      <c r="C59" s="31"/>
      <c r="D59" s="31"/>
    </row>
    <row r="61" spans="1:4" ht="18">
      <c r="A61" s="32" t="s">
        <v>101</v>
      </c>
      <c r="B61" s="32"/>
      <c r="C61" s="32"/>
      <c r="D61" s="32"/>
    </row>
    <row r="62" spans="1:4">
      <c r="A62" s="33" t="s">
        <v>100</v>
      </c>
      <c r="B62" s="33"/>
      <c r="C62" s="33"/>
      <c r="D62" s="33"/>
    </row>
    <row r="63" spans="1:4">
      <c r="A63" s="34" t="s">
        <v>102</v>
      </c>
      <c r="B63" s="31"/>
      <c r="C63" s="31"/>
      <c r="D63" s="31"/>
    </row>
    <row r="64" spans="1:4">
      <c r="A64" s="31" t="s">
        <v>103</v>
      </c>
      <c r="B64" s="31"/>
      <c r="C64" s="31"/>
      <c r="D64" s="31"/>
    </row>
    <row r="65" spans="1:4">
      <c r="A65" s="31" t="s">
        <v>104</v>
      </c>
      <c r="B65" s="31"/>
      <c r="C65" s="31"/>
      <c r="D65" s="31"/>
    </row>
    <row r="66" spans="1:4">
      <c r="A66" s="31" t="s">
        <v>105</v>
      </c>
      <c r="B66" s="31"/>
      <c r="C66" s="31"/>
      <c r="D66" s="31"/>
    </row>
    <row r="68" spans="1:4" ht="18">
      <c r="A68" s="32" t="s">
        <v>106</v>
      </c>
      <c r="B68" s="32"/>
      <c r="C68" s="32"/>
      <c r="D68" s="32"/>
    </row>
    <row r="69" spans="1:4">
      <c r="A69" s="33" t="s">
        <v>107</v>
      </c>
      <c r="B69" s="33"/>
      <c r="C69" s="33"/>
      <c r="D69" s="33"/>
    </row>
    <row r="70" spans="1:4">
      <c r="A70" s="31" t="s">
        <v>108</v>
      </c>
      <c r="B70" s="31"/>
      <c r="C70" s="31"/>
      <c r="D70" s="31"/>
    </row>
    <row r="71" spans="1:4">
      <c r="A71" s="31" t="s">
        <v>109</v>
      </c>
      <c r="B71" s="31"/>
      <c r="C71" s="31"/>
      <c r="D71" s="31"/>
    </row>
    <row r="72" spans="1:4">
      <c r="A72" s="31" t="s">
        <v>110</v>
      </c>
      <c r="B72" s="31"/>
      <c r="C72" s="31"/>
      <c r="D72" s="31"/>
    </row>
    <row r="73" spans="1:4">
      <c r="A73" s="31" t="s">
        <v>111</v>
      </c>
      <c r="B73" s="31"/>
      <c r="C73" s="31"/>
      <c r="D73" s="31"/>
    </row>
    <row r="74" spans="1:4">
      <c r="A74" s="29" t="s">
        <v>112</v>
      </c>
      <c r="B74" s="29"/>
      <c r="C74" s="29"/>
      <c r="D74" s="29"/>
    </row>
    <row r="76" spans="1:4">
      <c r="A76" t="s">
        <v>113</v>
      </c>
    </row>
    <row r="77" spans="1:4">
      <c r="A77" s="30" t="s">
        <v>116</v>
      </c>
      <c r="B77" s="30"/>
      <c r="C77" s="30"/>
      <c r="D77" s="30"/>
    </row>
    <row r="78" spans="1:4">
      <c r="A78" s="30" t="s">
        <v>115</v>
      </c>
      <c r="B78" s="30"/>
      <c r="C78" s="30"/>
      <c r="D78" s="30"/>
    </row>
    <row r="79" spans="1:4">
      <c r="A79" s="30" t="s">
        <v>114</v>
      </c>
      <c r="B79" s="30"/>
      <c r="C79" s="30"/>
      <c r="D79" s="30"/>
    </row>
    <row r="80" spans="1:4">
      <c r="A80" s="31"/>
      <c r="B80" s="31"/>
      <c r="C80" s="31"/>
      <c r="D80" s="31"/>
    </row>
  </sheetData>
  <sheetProtection algorithmName="SHA-512" hashValue="eHmvVfHweXOOdlZbt7FHlmKn2QT5Lf6Q+2rQCjRdP+MkzBzvajm10jJqB65ry5fO1cQCuYbUJQQBi36idKOKtw==" saltValue="8aeIbyZ9nAhRGcpIhQlh2g==" spinCount="100000" sheet="1" objects="1" scenarios="1"/>
  <mergeCells count="68">
    <mergeCell ref="A14:D14"/>
    <mergeCell ref="A1:D1"/>
    <mergeCell ref="A2:D2"/>
    <mergeCell ref="A3:D3"/>
    <mergeCell ref="A5:D5"/>
    <mergeCell ref="A6:D6"/>
    <mergeCell ref="A7:D7"/>
    <mergeCell ref="A8:D8"/>
    <mergeCell ref="A9:D9"/>
    <mergeCell ref="A10:D10"/>
    <mergeCell ref="A12:D12"/>
    <mergeCell ref="A13:D13"/>
    <mergeCell ref="A28:D28"/>
    <mergeCell ref="A15:D15"/>
    <mergeCell ref="A16:D16"/>
    <mergeCell ref="A17:D17"/>
    <mergeCell ref="A19:D19"/>
    <mergeCell ref="A20:D20"/>
    <mergeCell ref="A21:D21"/>
    <mergeCell ref="A22:D22"/>
    <mergeCell ref="A23:D23"/>
    <mergeCell ref="A24:D24"/>
    <mergeCell ref="A26:D26"/>
    <mergeCell ref="A27:D27"/>
    <mergeCell ref="A45:D45"/>
    <mergeCell ref="A29:D29"/>
    <mergeCell ref="A30:D30"/>
    <mergeCell ref="A31:D31"/>
    <mergeCell ref="A33:D33"/>
    <mergeCell ref="A34:D34"/>
    <mergeCell ref="A35:D35"/>
    <mergeCell ref="A36:D36"/>
    <mergeCell ref="A37:D37"/>
    <mergeCell ref="A38:D38"/>
    <mergeCell ref="A40:D40"/>
    <mergeCell ref="A41:D41"/>
    <mergeCell ref="A42:D42"/>
    <mergeCell ref="A43:D43"/>
    <mergeCell ref="A44:D44"/>
    <mergeCell ref="A59:D59"/>
    <mergeCell ref="A47:D47"/>
    <mergeCell ref="A48:D48"/>
    <mergeCell ref="A49:D49"/>
    <mergeCell ref="A50:D50"/>
    <mergeCell ref="A51:D51"/>
    <mergeCell ref="A52:D52"/>
    <mergeCell ref="A54:D54"/>
    <mergeCell ref="A55:D55"/>
    <mergeCell ref="A56:D56"/>
    <mergeCell ref="A57:D57"/>
    <mergeCell ref="A58:D58"/>
    <mergeCell ref="A73:D73"/>
    <mergeCell ref="A61:D61"/>
    <mergeCell ref="A62:D62"/>
    <mergeCell ref="A63:D63"/>
    <mergeCell ref="A64:D64"/>
    <mergeCell ref="A65:D65"/>
    <mergeCell ref="A66:D66"/>
    <mergeCell ref="A68:D68"/>
    <mergeCell ref="A69:D69"/>
    <mergeCell ref="A70:D70"/>
    <mergeCell ref="A71:D71"/>
    <mergeCell ref="A72:D72"/>
    <mergeCell ref="A74:D74"/>
    <mergeCell ref="A77:D77"/>
    <mergeCell ref="A78:D78"/>
    <mergeCell ref="A79:D79"/>
    <mergeCell ref="A80:D80"/>
  </mergeCells>
  <hyperlinks>
    <hyperlink ref="A2:D2" location="Calculator!A1" display="חזרה למחשבון" xr:uid="{A12F98FF-0EAF-4987-B884-86A2FF4A86D7}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C7565D-55AB-4B4A-B3E5-813F34A72053}">
  <dimension ref="A1:B9"/>
  <sheetViews>
    <sheetView rightToLeft="1" workbookViewId="0">
      <selection activeCell="A9" sqref="A9"/>
    </sheetView>
  </sheetViews>
  <sheetFormatPr defaultRowHeight="14.25"/>
  <cols>
    <col min="1" max="1" width="26.75" bestFit="1" customWidth="1"/>
    <col min="2" max="2" width="24.25" bestFit="1" customWidth="1"/>
    <col min="3" max="3" width="22.5" bestFit="1" customWidth="1"/>
  </cols>
  <sheetData>
    <row r="1" spans="1:2">
      <c r="A1" t="s">
        <v>45</v>
      </c>
      <c r="B1" t="s">
        <v>46</v>
      </c>
    </row>
    <row r="2" spans="1:2">
      <c r="A2" t="s">
        <v>37</v>
      </c>
      <c r="B2" s="18">
        <f>SUM(Calculator!D6:D9)</f>
        <v>454</v>
      </c>
    </row>
    <row r="3" spans="1:2">
      <c r="A3" t="s">
        <v>38</v>
      </c>
      <c r="B3" s="18">
        <f>IF(B2=0,"N/A",(Calculator!D6+Calculator!D9)/B2)</f>
        <v>0.76651982378854622</v>
      </c>
    </row>
    <row r="4" spans="1:2">
      <c r="A4" t="s">
        <v>39</v>
      </c>
      <c r="B4" s="18">
        <f>Calculator!D6+Calculator!D7</f>
        <v>339</v>
      </c>
    </row>
    <row r="5" spans="1:2">
      <c r="A5" t="s">
        <v>40</v>
      </c>
      <c r="B5" s="18">
        <f>Calculator!D8+Calculator!D9</f>
        <v>115</v>
      </c>
    </row>
    <row r="6" spans="1:2">
      <c r="A6" t="s">
        <v>41</v>
      </c>
      <c r="B6" s="18">
        <f>Calculator!D6+Calculator!D8</f>
        <v>433</v>
      </c>
    </row>
    <row r="7" spans="1:2">
      <c r="A7" t="s">
        <v>42</v>
      </c>
      <c r="B7" s="18">
        <f>Calculator!D7+Calculator!D9</f>
        <v>21</v>
      </c>
    </row>
    <row r="8" spans="1:2">
      <c r="A8" t="s">
        <v>43</v>
      </c>
      <c r="B8" s="18">
        <f>IF(B2=0,"N/A",((B4*B6)+(B5*B7))/(B2^2))</f>
        <v>0.7238739350656912</v>
      </c>
    </row>
    <row r="9" spans="1:2">
      <c r="A9" t="s">
        <v>44</v>
      </c>
      <c r="B9">
        <f>IF(OR(B3="N/A",B8="N/A",1-B8=0),"N/A",(B3-B8)/(1-B8))</f>
        <v>0.15444354640334515</v>
      </c>
    </row>
  </sheetData>
  <sheetProtection algorithmName="SHA-512" hashValue="v0rgAitIaw5Zh5p+m/zW8dgfjB3JYSs1wKZ05jM7hsuE2LIcJGLX4rpvbguJdeE2+yPvfm+E9BdCVkbDMvplYw==" saltValue="6Mh4d7z+kfhTxQoInF9Raw==" spinCount="100000" sheet="1" objects="1" scenarios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Calculator</vt:lpstr>
      <vt:lpstr>Method</vt:lpstr>
      <vt:lpstr>Calc_Backend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Meni Berger</dc:creator>
  <cp:lastModifiedBy>Meni Berger</cp:lastModifiedBy>
  <dcterms:created xsi:type="dcterms:W3CDTF">2024-12-04T05:03:34Z</dcterms:created>
  <dcterms:modified xsi:type="dcterms:W3CDTF">2026-10-18T09:36:11Z</dcterms:modified>
</cp:coreProperties>
</file>